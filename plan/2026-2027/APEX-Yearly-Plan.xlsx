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ll Schedule" sheetId="2" state="visible" r:id="rId2"/>
    <sheet name="Roster" sheetId="3" state="visible" r:id="rId3"/>
    <sheet name="KPI Tracker" sheetId="4" state="visible" r:id="rId4"/>
    <sheet name="Q1 90-Day Test" sheetId="5" state="visible" r:id="rId5"/>
    <sheet name="Projects" sheetId="6" state="visible" r:id="rId6"/>
  </sheets>
  <definedNames>
    <definedName name="_xlnm._FilterDatabase" localSheetId="1" hidden="1">'Call Schedule'!$A$1:$M$190</definedName>
    <definedName name="_xlnm._FilterDatabase" localSheetId="2" hidden="1">'Roster'!$A$1:$X$98</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0">
    <font>
      <name val="Calibri"/>
      <family val="2"/>
      <color theme="1"/>
      <sz val="11"/>
      <scheme val="minor"/>
    </font>
    <font>
      <name val="Arial"/>
      <b val="1"/>
      <color rgb="00FFFFFF"/>
      <sz val="10"/>
    </font>
    <font>
      <name val="Arial"/>
      <color rgb="001F2937"/>
      <sz val="10"/>
    </font>
    <font>
      <name val="Arial"/>
      <b val="1"/>
      <color rgb="001F2937"/>
      <sz val="16"/>
    </font>
    <font>
      <name val="Arial"/>
      <color rgb="006B7280"/>
      <sz val="11"/>
    </font>
    <font>
      <name val="Arial"/>
      <color rgb="006B7280"/>
      <sz val="9"/>
    </font>
    <font>
      <name val="Arial"/>
      <i val="1"/>
      <color rgb="001F2937"/>
      <sz val="11"/>
    </font>
    <font>
      <name val="Arial"/>
      <b val="1"/>
      <color rgb="001F2937"/>
      <sz val="12"/>
    </font>
    <font>
      <name val="Arial"/>
      <b val="1"/>
      <color rgb="0096661C"/>
      <sz val="20"/>
    </font>
    <font>
      <name val="Arial"/>
      <b val="1"/>
      <color rgb="0096661C"/>
      <sz val="10"/>
    </font>
  </fonts>
  <fills count="8">
    <fill>
      <patternFill/>
    </fill>
    <fill>
      <patternFill patternType="gray125"/>
    </fill>
    <fill>
      <patternFill patternType="solid">
        <fgColor rgb="00374151"/>
      </patternFill>
    </fill>
    <fill>
      <patternFill patternType="solid">
        <fgColor rgb="00F5E6C8"/>
      </patternFill>
    </fill>
    <fill>
      <patternFill patternType="solid">
        <fgColor rgb="00FFF9C4"/>
      </patternFill>
    </fill>
    <fill>
      <patternFill patternType="solid">
        <fgColor rgb="00DCE6F0"/>
      </patternFill>
    </fill>
    <fill>
      <patternFill patternType="solid">
        <fgColor rgb="00DDE7DE"/>
      </patternFill>
    </fill>
    <fill>
      <patternFill patternType="solid">
        <fgColor rgb="00F3F4F6"/>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right" vertical="center"/>
    </xf>
    <xf numFmtId="0" fontId="7" fillId="0" borderId="0" pivotButton="0" quotePrefix="0" xfId="0"/>
    <xf numFmtId="0" fontId="8" fillId="0" borderId="0" pivotButton="0" quotePrefix="0" xfId="0"/>
    <xf numFmtId="0" fontId="5" fillId="0" borderId="0" applyAlignment="1" pivotButton="0" quotePrefix="0" xfId="0">
      <alignment vertical="top" wrapText="1"/>
    </xf>
    <xf numFmtId="0" fontId="1" fillId="2" borderId="1" pivotButton="0" quotePrefix="0" xfId="0"/>
    <xf numFmtId="0" fontId="9" fillId="3" borderId="1" applyAlignment="1" pivotButton="0" quotePrefix="0" xfId="0">
      <alignment horizontal="center" vertical="top"/>
    </xf>
    <xf numFmtId="0" fontId="0" fillId="0" borderId="1" applyAlignment="1" pivotButton="0" quotePrefix="0" xfId="0">
      <alignment vertical="top" wrapText="1"/>
    </xf>
    <xf numFmtId="0" fontId="0" fillId="0" borderId="1" applyAlignment="1" pivotButton="0" quotePrefix="0" xfId="0">
      <alignment horizontal="center" vertical="top"/>
    </xf>
    <xf numFmtId="9" fontId="0" fillId="0" borderId="1" applyAlignment="1" pivotButton="0" quotePrefix="0" xfId="0">
      <alignment horizontal="center" vertical="top"/>
    </xf>
    <xf numFmtId="0" fontId="9" fillId="5" borderId="1" applyAlignment="1" pivotButton="0" quotePrefix="0" xfId="0">
      <alignment horizontal="center" vertical="top"/>
    </xf>
    <xf numFmtId="0" fontId="9" fillId="6" borderId="1" applyAlignment="1" pivotButton="0" quotePrefix="0" xfId="0">
      <alignment horizontal="center" vertical="top"/>
    </xf>
    <xf numFmtId="0" fontId="7" fillId="0" borderId="1" pivotButton="0" quotePrefix="0" xfId="0"/>
    <xf numFmtId="0" fontId="0" fillId="0" borderId="1" pivotButton="0" quotePrefix="0" xfId="0"/>
    <xf numFmtId="0" fontId="7" fillId="0" borderId="1" applyAlignment="1" pivotButton="0" quotePrefix="0" xfId="0">
      <alignment horizontal="center"/>
    </xf>
    <xf numFmtId="9" fontId="7" fillId="0" borderId="1" pivotButton="0" quotePrefix="0" xfId="0"/>
    <xf numFmtId="0" fontId="9" fillId="0" borderId="1" pivotButton="0" quotePrefix="0" xfId="0"/>
    <xf numFmtId="0" fontId="9" fillId="0" borderId="0" pivotButton="0" quotePrefix="0" xfId="0"/>
    <xf numFmtId="0" fontId="2" fillId="4" borderId="1" pivotButton="0" quotePrefix="0" xfId="0"/>
    <xf numFmtId="0" fontId="0" fillId="0" borderId="4" pivotButton="0" quotePrefix="0" xfId="0"/>
    <xf numFmtId="0" fontId="0" fillId="0" borderId="5" pivotButton="0" quotePrefix="0" xfId="0"/>
    <xf numFmtId="0" fontId="1" fillId="2" borderId="1" applyAlignment="1" pivotButton="0" quotePrefix="0" xfId="0">
      <alignment vertical="center" wrapText="1"/>
    </xf>
    <xf numFmtId="165" fontId="2" fillId="0" borderId="1" applyAlignment="1" pivotButton="0" quotePrefix="0" xfId="0">
      <alignment vertical="top"/>
    </xf>
    <xf numFmtId="0" fontId="2" fillId="0" borderId="1" applyAlignment="1" pivotButton="0" quotePrefix="0" xfId="0">
      <alignment vertical="top"/>
    </xf>
    <xf numFmtId="0" fontId="2" fillId="3"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vertical="top" wrapText="1"/>
    </xf>
    <xf numFmtId="165" fontId="2" fillId="4" borderId="1" applyAlignment="1" pivotButton="0" quotePrefix="0" xfId="0">
      <alignment vertical="top"/>
    </xf>
    <xf numFmtId="0" fontId="2" fillId="6" borderId="1" applyAlignment="1" pivotButton="0" quotePrefix="0" xfId="0">
      <alignment horizontal="center" vertical="top"/>
    </xf>
    <xf numFmtId="0" fontId="2" fillId="5" borderId="1" applyAlignment="1" pivotButton="0" quotePrefix="0" xfId="0">
      <alignment horizontal="center" vertical="top"/>
    </xf>
    <xf numFmtId="0" fontId="9" fillId="7" borderId="1" pivotButton="0" quotePrefix="0" xfId="0"/>
    <xf numFmtId="0" fontId="9" fillId="7" borderId="1" applyAlignment="1" pivotButton="0" quotePrefix="0" xfId="0">
      <alignment horizontal="center"/>
    </xf>
    <xf numFmtId="165" fontId="2" fillId="0" borderId="1" applyAlignment="1" pivotButton="0" quotePrefix="0" xfId="0">
      <alignment horizontal="center" vertical="top"/>
    </xf>
    <xf numFmtId="0" fontId="2" fillId="0" borderId="1" applyAlignment="1" pivotButton="0" quotePrefix="0" xfId="0">
      <alignment horizontal="center" vertical="top"/>
    </xf>
    <xf numFmtId="0" fontId="2" fillId="7" borderId="1" applyAlignment="1" pivotButton="0" quotePrefix="0" xfId="0">
      <alignment horizontal="center" vertical="top"/>
    </xf>
    <xf numFmtId="0" fontId="2" fillId="4" borderId="1" applyAlignment="1" pivotButton="0" quotePrefix="0" xfId="0">
      <alignment horizontal="center" vertical="top"/>
    </xf>
    <xf numFmtId="0" fontId="1" fillId="2" borderId="1" applyAlignment="1" pivotButton="0" quotePrefix="0" xfId="0">
      <alignment horizontal="center"/>
    </xf>
    <xf numFmtId="0" fontId="8" fillId="0" borderId="1" applyAlignment="1" pivotButton="0" quotePrefix="0" xfId="0">
      <alignment horizontal="center"/>
    </xf>
    <xf numFmtId="0" fontId="2" fillId="0" borderId="0" pivotButton="0" quotePrefix="0" xfId="0"/>
    <xf numFmtId="0" fontId="0" fillId="4" borderId="1" pivotButton="0" quotePrefix="0" xfId="0"/>
    <xf numFmtId="9" fontId="9" fillId="0" borderId="1" pivotButton="0" quotePrefix="0" xfId="0"/>
    <xf numFmtId="0" fontId="2" fillId="0" borderId="0" applyAlignment="1" pivotButton="0" quotePrefix="0" xfId="0">
      <alignment horizontal="right"/>
    </xf>
    <xf numFmtId="0" fontId="2" fillId="4" borderId="1" applyAlignment="1" pivotButton="0" quotePrefix="0" xfId="0">
      <alignment horizontal="center"/>
    </xf>
    <xf numFmtId="0" fontId="9" fillId="0" borderId="1" applyAlignment="1" pivotButton="0" quotePrefix="0" xfId="0">
      <alignment vertical="top"/>
    </xf>
  </cellXfs>
  <cellStyles count="1">
    <cellStyle name="Normal" xfId="0" builtinId="0" hidden="0"/>
  </cellStyles>
  <dxfs count="1">
    <dxf>
      <fill>
        <patternFill patternType="solid">
          <f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APEX plan</author>
  </authors>
  <commentList>
    <comment ref="L1" authorId="0" shapeId="0">
      <text>
        <t>Type the outcome here. 'done' turns the row green and feeds every count on Overview and the KPI Tracker.</t>
      </text>
    </comment>
  </commentList>
</comments>
</file>

<file path=xl/comments/comment2.xml><?xml version="1.0" encoding="utf-8"?>
<comments xmlns="http://schemas.openxmlformats.org/spreadsheetml/2006/main">
  <authors>
    <author>APEX plan</author>
  </authors>
  <commentList>
    <comment ref="R1" authorId="0" shapeId="0">
      <text>
        <t>The most important field in the workbook. Role definition §7: 'a database without a next action is just a contact list.' A row with no next action is stored, not maintained.</t>
      </text>
    </comment>
    <comment ref="W1" authorId="0" shapeId="0">
      <text>
        <t>Verbatim from the 15/07/26 master sheet, which screened everyone against GPU-systems / power / real-time-control criteria for a hardware founding team. Kept because it is real research — but it answers a different question than this role asks, and nothing here uses it to rank or deprioritise anyone.</t>
      </text>
    </comment>
  </commentList>
</comments>
</file>

<file path=xl/comments/comment3.xml><?xml version="1.0" encoding="utf-8"?>
<comments xmlns="http://schemas.openxmlformats.org/spreadsheetml/2006/main">
  <authors>
    <author>APEX plan</author>
  </authors>
  <commentList>
    <comment ref="E4" authorId="0" shapeId="0">
      <text>
        <t>Counts roster rows whose Last contact falls in the week. Fill Last contact after every conversation and this moves on its own.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H58"/>
  <sheetViews>
    <sheetView showGridLines="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30" customWidth="1" min="8" max="8"/>
  </cols>
  <sheetData>
    <row r="1">
      <c r="A1" s="1" t="inlineStr">
        <is>
          <t>APEX — Talent, Alumni &amp; Network</t>
        </is>
      </c>
    </row>
    <row r="2">
      <c r="A2" s="2" t="inlineStr">
        <is>
          <t>Yearly plan · September 2026 – August 2027</t>
        </is>
      </c>
    </row>
    <row r="3">
      <c r="A3" s="3" t="inlineStr">
        <is>
          <t>Owner: Nadav Delgo   ·   Reviewed weekly with Avishag   ·   Built from the role definition (§ references point at it)</t>
        </is>
      </c>
    </row>
    <row r="5" ht="22" customHeight="1">
      <c r="A5" s="4" t="inlineStr">
        <is>
          <t>אתה ה־Human Node של APEX. וככל שאתה מצליח יותר בתפקיד, אני צריכה להיות פחות באמצע.</t>
        </is>
      </c>
    </row>
    <row r="6">
      <c r="A6" s="3" t="inlineStr">
        <is>
          <t>— the role definition, §25</t>
        </is>
      </c>
    </row>
    <row r="8">
      <c r="A8" s="5" t="inlineStr">
        <is>
          <t>Where things stand</t>
        </is>
      </c>
    </row>
    <row r="9" ht="30" customHeight="1">
      <c r="A9" s="6">
        <f>COUNTA(Roster!$B$2:$B$98)</f>
        <v/>
      </c>
      <c r="C9" s="6">
        <f>COUNTA('Call Schedule'!$E$2:$E$190)</f>
        <v/>
      </c>
      <c r="E9" s="6">
        <f>COUNTIF('Call Schedule'!$L$2:$L$190,"done")</f>
        <v/>
      </c>
      <c r="G9" s="6">
        <f>COUNTA(Roster!$R$2:$R$98)</f>
        <v/>
      </c>
    </row>
    <row r="10" ht="26" customHeight="1">
      <c r="A10" s="7" t="inlineStr">
        <is>
          <t>Alumni</t>
        </is>
      </c>
      <c r="C10" s="7" t="inlineStr">
        <is>
          <t>Conversations planned</t>
        </is>
      </c>
      <c r="E10" s="7" t="inlineStr">
        <is>
          <t>Done so far</t>
        </is>
      </c>
      <c r="G10" s="7" t="inlineStr">
        <is>
          <t>Roster rows with a next action</t>
        </is>
      </c>
    </row>
    <row r="13">
      <c r="A13" s="5" t="inlineStr">
        <is>
          <t>Who the alumni are</t>
        </is>
      </c>
    </row>
    <row r="14" ht="26" customHeight="1">
      <c r="A14" s="7" t="inlineStr">
        <is>
          <t>Tier sets call frequency and nothing else. It is not a ranking, and the matching engine ignores it — a tier-C engineer at Wiz is still a first-class referral path into Wiz.</t>
        </is>
      </c>
    </row>
    <row r="16">
      <c r="A16" s="8" t="inlineStr">
        <is>
          <t>Tier</t>
        </is>
      </c>
      <c r="B16" s="8" t="inlineStr">
        <is>
          <t>Who</t>
        </is>
      </c>
      <c r="C16" s="8" t="inlineStr">
        <is>
          <t>Calls/yr</t>
        </is>
      </c>
      <c r="D16" s="8" t="inlineStr">
        <is>
          <t>People</t>
        </is>
      </c>
      <c r="E16" s="8" t="inlineStr">
        <is>
          <t>Calls/yr total</t>
        </is>
      </c>
      <c r="F16" s="8" t="inlineStr">
        <is>
          <t>Done</t>
        </is>
      </c>
      <c r="G16" s="8" t="inlineStr">
        <is>
          <t>% done</t>
        </is>
      </c>
    </row>
    <row r="17" ht="26" customHeight="1">
      <c r="A17" s="9" t="inlineStr">
        <is>
          <t>A</t>
        </is>
      </c>
      <c r="B17" s="10" t="inlineStr">
        <is>
          <t>Founders, stealth builders, people at a transition point (§5)</t>
        </is>
      </c>
      <c r="C17" s="11" t="n">
        <v>3</v>
      </c>
      <c r="D17" s="11">
        <f>COUNTIF(Roster!$K$2:$K$98,$A17)</f>
        <v/>
      </c>
      <c r="E17" s="11">
        <f>COUNTIF('Call Schedule'!$G$2:$G$190,$A17)</f>
        <v/>
      </c>
      <c r="F17" s="11">
        <f>COUNTIFS('Call Schedule'!$G$2:$G$190,$A17,'Call Schedule'!$L$2:$L$190,"done")</f>
        <v/>
      </c>
      <c r="G17" s="12">
        <f>IF($E17=0,0,$F17/$E17)</f>
        <v/>
      </c>
    </row>
    <row r="18" ht="26" customHeight="1">
      <c r="A18" s="13" t="inlineStr">
        <is>
          <t>B</t>
        </is>
      </c>
      <c r="B18" s="10" t="inlineStr">
        <is>
          <t>Seniority or research standing — office hours, referrals, intros</t>
        </is>
      </c>
      <c r="C18" s="11" t="n">
        <v>2</v>
      </c>
      <c r="D18" s="11">
        <f>COUNTIF(Roster!$K$2:$K$98,$A18)</f>
        <v/>
      </c>
      <c r="E18" s="11">
        <f>COUNTIF('Call Schedule'!$G$2:$G$190,$A18)</f>
        <v/>
      </c>
      <c r="F18" s="11">
        <f>COUNTIFS('Call Schedule'!$G$2:$G$190,$A18,'Call Schedule'!$L$2:$L$190,"done")</f>
        <v/>
      </c>
      <c r="G18" s="12">
        <f>IF($E18=0,0,$F18/$E18)</f>
        <v/>
      </c>
    </row>
    <row r="19" ht="26" customHeight="1">
      <c r="A19" s="14" t="inlineStr">
        <is>
          <t>C</t>
        </is>
      </c>
      <c r="B19" s="10" t="inlineStr">
        <is>
          <t>No verified role (the roll-up backlog) + slower-moving ICs</t>
        </is>
      </c>
      <c r="C19" s="11" t="n">
        <v>1</v>
      </c>
      <c r="D19" s="11">
        <f>COUNTIF(Roster!$K$2:$K$98,$A19)</f>
        <v/>
      </c>
      <c r="E19" s="11">
        <f>COUNTIF('Call Schedule'!$G$2:$G$190,$A19)</f>
        <v/>
      </c>
      <c r="F19" s="11">
        <f>COUNTIFS('Call Schedule'!$G$2:$G$190,$A19,'Call Schedule'!$L$2:$L$190,"done")</f>
        <v/>
      </c>
      <c r="G19" s="12">
        <f>IF($E19=0,0,$F19/$E19)</f>
        <v/>
      </c>
    </row>
    <row r="20">
      <c r="A20" s="15" t="inlineStr">
        <is>
          <t>Total</t>
        </is>
      </c>
      <c r="B20" s="16" t="n"/>
      <c r="C20" s="16" t="n"/>
      <c r="D20" s="17">
        <f>SUM($D$17:$D$19)</f>
        <v/>
      </c>
      <c r="E20" s="17">
        <f>SUM($E$17:$E$19)</f>
        <v/>
      </c>
      <c r="F20" s="17">
        <f>SUM($F$17:$F$19)</f>
        <v/>
      </c>
      <c r="G20" s="18">
        <f>IF($E20=0,0,$F20/$E20)</f>
        <v/>
      </c>
    </row>
    <row r="22">
      <c r="A22" s="7" t="inlineStr">
        <is>
          <t>Rotation: 3–4 conversations a week, Sunday to Wednesday, across 50 working weeks. Thursday stays clear for the weekly report. חגים are excluded — no call is scheduled on one.</t>
        </is>
      </c>
    </row>
    <row r="25">
      <c r="A25" s="5" t="inlineStr">
        <is>
          <t>The year in four movements</t>
        </is>
      </c>
    </row>
    <row r="26">
      <c r="A26" s="8" t="inlineStr">
        <is>
          <t>Quarter</t>
        </is>
      </c>
      <c r="B26" s="8" t="inlineStr">
        <is>
          <t>Theme</t>
        </is>
      </c>
      <c r="C26" s="8" t="inlineStr">
        <is>
          <t>The test it has to pass</t>
        </is>
      </c>
      <c r="D26" s="8" t="inlineStr">
        <is>
          <t>Calls</t>
        </is>
      </c>
      <c r="E26" s="8" t="inlineStr">
        <is>
          <t>Done</t>
        </is>
      </c>
      <c r="F26" s="8" t="inlineStr">
        <is>
          <t>% done</t>
        </is>
      </c>
    </row>
    <row r="27" ht="30" customHeight="1">
      <c r="A27" s="19" t="inlineStr">
        <is>
          <t>Q1 · Sep–Nov 2026</t>
        </is>
      </c>
      <c r="B27" s="16" t="inlineStr">
        <is>
          <t>Know them</t>
        </is>
      </c>
      <c r="C27" s="10" t="inlineStr">
        <is>
          <t>The 90-day test (§24) — every question answerable without asking anyone</t>
        </is>
      </c>
      <c r="D27" s="11">
        <f>COUNTIF('Call Schedule'!$D$2:$D$190,"Q1")</f>
        <v/>
      </c>
      <c r="E27" s="11">
        <f>COUNTIFS('Call Schedule'!$D$2:$D$190,"Q1",'Call Schedule'!$L$2:$L$190,"done")</f>
        <v/>
      </c>
      <c r="F27" s="12">
        <f>IF($D27=0,0,$E27/$D27)</f>
        <v/>
      </c>
    </row>
    <row r="28" ht="30" customHeight="1">
      <c r="A28" s="19" t="inlineStr">
        <is>
          <t>Q2 · Dec–Feb</t>
        </is>
      </c>
      <c r="B28" s="16" t="inlineStr">
        <is>
          <t>Harness them</t>
        </is>
      </c>
      <c r="C28" s="10" t="inlineStr">
        <is>
          <t>Alumni move from receiving value to giving it (§4)</t>
        </is>
      </c>
      <c r="D28" s="11">
        <f>COUNTIF('Call Schedule'!$D$2:$D$190,"Q2")</f>
        <v/>
      </c>
      <c r="E28" s="11">
        <f>COUNTIFS('Call Schedule'!$D$2:$D$190,"Q2",'Call Schedule'!$L$2:$L$190,"done")</f>
        <v/>
      </c>
      <c r="F28" s="12">
        <f>IF($D28=0,0,$E28/$D28)</f>
        <v/>
      </c>
    </row>
    <row r="29" ht="30" customHeight="1">
      <c r="A29" s="19" t="inlineStr">
        <is>
          <t>Q3 · Mar–May 2027</t>
        </is>
      </c>
      <c r="B29" s="16" t="inlineStr">
        <is>
          <t>Compound</t>
        </is>
      </c>
      <c r="C29" s="10" t="inlineStr">
        <is>
          <t>Alumni-to-alumni introductions outnumber the ones Nadav brokers</t>
        </is>
      </c>
      <c r="D29" s="11">
        <f>COUNTIF('Call Schedule'!$D$2:$D$190,"Q3")</f>
        <v/>
      </c>
      <c r="E29" s="11">
        <f>COUNTIFS('Call Schedule'!$D$2:$D$190,"Q3",'Call Schedule'!$L$2:$L$190,"done")</f>
        <v/>
      </c>
      <c r="F29" s="12">
        <f>IF($D29=0,0,$E29/$D29)</f>
        <v/>
      </c>
    </row>
    <row r="30" ht="30" customHeight="1">
      <c r="A30" s="19" t="inlineStr">
        <is>
          <t>Q4 · Jun–Aug 2027</t>
        </is>
      </c>
      <c r="B30" s="16" t="inlineStr">
        <is>
          <t>Institutionalise</t>
        </is>
      </c>
      <c r="C30" s="10" t="inlineStr">
        <is>
          <t>A month without Avishag, run for real — does the network still strengthen?</t>
        </is>
      </c>
      <c r="D30" s="11">
        <f>COUNTIF('Call Schedule'!$D$2:$D$190,"Q4")</f>
        <v/>
      </c>
      <c r="E30" s="11">
        <f>COUNTIFS('Call Schedule'!$D$2:$D$190,"Q4",'Call Schedule'!$L$2:$L$190,"done")</f>
        <v/>
      </c>
      <c r="F30" s="12">
        <f>IF($D30=0,0,$E30/$D30)</f>
        <v/>
      </c>
    </row>
    <row r="33">
      <c r="A33" s="5" t="inlineStr">
        <is>
          <t>How to use this workbook</t>
        </is>
      </c>
    </row>
    <row r="34" ht="26" customHeight="1">
      <c r="A34" s="20" t="inlineStr">
        <is>
          <t>Yellow cells are yours to fill in.</t>
        </is>
      </c>
      <c r="B34" s="7" t="inlineStr">
        <is>
          <t>Everything else is generated from config/network/roster.csv and the call rotation, and is overwritten when the workbook is rebuilt.</t>
        </is>
      </c>
    </row>
    <row r="35" ht="26" customHeight="1">
      <c r="A35" s="20" t="inlineStr">
        <is>
          <t>Call Schedule</t>
        </is>
      </c>
      <c r="B35" s="7" t="inlineStr">
        <is>
          <t>One row per planned conversation. Set Status to 'done' — the row turns green and every count above moves.</t>
        </is>
      </c>
    </row>
    <row r="36" ht="26" customHeight="1">
      <c r="A36" s="20" t="inlineStr">
        <is>
          <t>Roster</t>
        </is>
      </c>
      <c r="B36" s="7" t="inlineStr">
        <is>
          <t>The source of truth for people. After each call fill Now, Needs, Can help, Last contact and above all NEXT ACTION.</t>
        </is>
      </c>
    </row>
    <row r="37" ht="26" customHeight="1">
      <c r="A37" s="20" t="inlineStr">
        <is>
          <t>KPI Tracker</t>
        </is>
      </c>
      <c r="B37" s="7" t="inlineStr">
        <is>
          <t>Weekly numbers. The call counts and the funnel compute themselves; the rest you type.</t>
        </is>
      </c>
    </row>
    <row r="38" ht="26" customHeight="1">
      <c r="A38" s="20" t="inlineStr">
        <is>
          <t>Q1 90-Day Test</t>
        </is>
      </c>
      <c r="B38" s="7" t="inlineStr">
        <is>
          <t>The eight questions §24 says must be answerable in ninety days.</t>
        </is>
      </c>
    </row>
    <row r="39" ht="26" customHeight="1">
      <c r="A39" s="20" t="inlineStr">
        <is>
          <t>Projects</t>
        </is>
      </c>
      <c r="B39" s="7" t="inlineStr">
        <is>
          <t>Coffee Club, SF, Office Hours, Alumni Roll-Up — with dates.</t>
        </is>
      </c>
    </row>
    <row r="41">
      <c r="A41" s="5" t="inlineStr">
        <is>
          <t>Example of a filled roster row</t>
        </is>
      </c>
    </row>
    <row r="42">
      <c r="A42" s="3" t="inlineStr">
        <is>
          <t>Now / current goal</t>
        </is>
      </c>
      <c r="B42" s="21" t="inlineStr">
        <is>
          <t>Leaving Meta in November, starting a company</t>
        </is>
      </c>
      <c r="C42" s="22" t="n"/>
      <c r="D42" s="22" t="n"/>
      <c r="E42" s="22" t="n"/>
      <c r="F42" s="23" t="n"/>
    </row>
    <row r="43">
      <c r="A43" s="3" t="inlineStr">
        <is>
          <t>Needs</t>
        </is>
      </c>
      <c r="B43" s="21" t="inlineStr">
        <is>
          <t>Technical co-founder; two intros in AI infra</t>
        </is>
      </c>
      <c r="C43" s="22" t="n"/>
      <c r="D43" s="22" t="n"/>
      <c r="E43" s="22" t="n"/>
      <c r="F43" s="23" t="n"/>
    </row>
    <row r="44">
      <c r="A44" s="3" t="inlineStr">
        <is>
          <t>Can help with</t>
        </is>
      </c>
      <c r="B44" s="21" t="inlineStr">
        <is>
          <t>ML pipelines; interviewing; referrals into Meta</t>
        </is>
      </c>
      <c r="C44" s="22" t="n"/>
      <c r="D44" s="22" t="n"/>
      <c r="E44" s="22" t="n"/>
      <c r="F44" s="23" t="n"/>
    </row>
    <row r="45">
      <c r="A45" s="3" t="inlineStr">
        <is>
          <t>Tie strength</t>
        </is>
      </c>
      <c r="B45" s="21" t="inlineStr">
        <is>
          <t>Engaged</t>
        </is>
      </c>
      <c r="C45" s="22" t="n"/>
      <c r="D45" s="22" t="n"/>
      <c r="E45" s="22" t="n"/>
      <c r="F45" s="23" t="n"/>
    </row>
    <row r="46">
      <c r="A46" s="3" t="inlineStr">
        <is>
          <t>Last contact</t>
        </is>
      </c>
      <c r="B46" s="21" t="inlineStr">
        <is>
          <t>14/09/2026</t>
        </is>
      </c>
      <c r="C46" s="22" t="n"/>
      <c r="D46" s="22" t="n"/>
      <c r="E46" s="22" t="n"/>
      <c r="F46" s="23" t="n"/>
    </row>
    <row r="47">
      <c r="A47" s="3" t="inlineStr">
        <is>
          <t>Source</t>
        </is>
      </c>
      <c r="B47" s="21" t="inlineStr">
        <is>
          <t>call 14/09</t>
        </is>
      </c>
      <c r="C47" s="22" t="n"/>
      <c r="D47" s="22" t="n"/>
      <c r="E47" s="22" t="n"/>
      <c r="F47" s="23" t="n"/>
    </row>
    <row r="48">
      <c r="A48" s="3" t="inlineStr">
        <is>
          <t>NEXT ACTION</t>
        </is>
      </c>
      <c r="B48" s="21" t="inlineStr">
        <is>
          <t>Intro to Guy Goldenberg (Wiz) on the ML infra opening</t>
        </is>
      </c>
      <c r="C48" s="22" t="n"/>
      <c r="D48" s="22" t="n"/>
      <c r="E48" s="22" t="n"/>
      <c r="F48" s="23" t="n"/>
    </row>
    <row r="49">
      <c r="A49" s="3" t="inlineStr">
        <is>
          <t>Due</t>
        </is>
      </c>
      <c r="B49" s="21" t="inlineStr">
        <is>
          <t>21/09/2026</t>
        </is>
      </c>
      <c r="C49" s="22" t="n"/>
      <c r="D49" s="22" t="n"/>
      <c r="E49" s="22" t="n"/>
      <c r="F49" s="23" t="n"/>
    </row>
    <row r="50">
      <c r="A50" s="3" t="inlineStr">
        <is>
          <t>Illustration only — this is not a real alum, and no row like it exists in the Roster sheet.</t>
        </is>
      </c>
    </row>
    <row r="53">
      <c r="A53" s="5" t="inlineStr">
        <is>
          <t>Where the data came from</t>
        </is>
      </c>
    </row>
    <row r="54" ht="26" customHeight="1">
      <c r="A54" s="7" t="inlineStr">
        <is>
          <t>• Alumni: 97 rows from Apex_Master_150726.xlsx (cohort #1 26, #2 33, #3 38).</t>
        </is>
      </c>
    </row>
    <row r="55" ht="26" customHeight="1">
      <c r="A55" s="7" t="inlineStr">
        <is>
          <t>• That sheet screened alumni against GPU-systems / power / real-time criteria for a hardware founding team. Its verdicts are preserved in the Roster's Source note column and are not used for tiering here.</t>
        </is>
      </c>
    </row>
    <row r="56" ht="26" customHeight="1">
      <c r="A56" s="7" t="inlineStr">
        <is>
          <t>• Tiers, cadence, KPI targets and project definitions: config/network/network.yaml, derived from the role definition.</t>
        </is>
      </c>
    </row>
    <row r="57" ht="26" customHeight="1">
      <c r="A57" s="7" t="inlineStr">
        <is>
          <t>• חגים read from the 'חגים בישראל' calendar, not inferred. Only Sep–Nov 2026 is filled in; extend cadence.off_days to cover the rest.</t>
        </is>
      </c>
    </row>
    <row r="58" ht="26" customHeight="1">
      <c r="A58" s="7" t="inlineStr">
        <is>
          <t>• Open with Avishag: 97 alumni here vs 82 graduates in the Canon vs the 117 quoted to her on 26/08 — the funnel needs one denominator.</t>
        </is>
      </c>
    </row>
  </sheetData>
  <mergeCells count="22">
    <mergeCell ref="B47:F47"/>
    <mergeCell ref="B46:F46"/>
    <mergeCell ref="B37:H37"/>
    <mergeCell ref="B36:H36"/>
    <mergeCell ref="B43:F43"/>
    <mergeCell ref="B48:F48"/>
    <mergeCell ref="B35:H35"/>
    <mergeCell ref="B42:F42"/>
    <mergeCell ref="A54:H54"/>
    <mergeCell ref="B44:F44"/>
    <mergeCell ref="A56:H56"/>
    <mergeCell ref="A55:H55"/>
    <mergeCell ref="A57:H57"/>
    <mergeCell ref="B39:H39"/>
    <mergeCell ref="A14:H14"/>
    <mergeCell ref="A5:H5"/>
    <mergeCell ref="A22:H22"/>
    <mergeCell ref="B49:F49"/>
    <mergeCell ref="B38:H38"/>
    <mergeCell ref="B45:F45"/>
    <mergeCell ref="B34:H34"/>
    <mergeCell ref="A58:H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5" customWidth="1" min="3" max="3"/>
    <col width="6" customWidth="1" min="4" max="4"/>
    <col width="22" customWidth="1" min="5" max="5"/>
    <col width="8" customWidth="1" min="6" max="6"/>
    <col width="6" customWidth="1" min="7" max="7"/>
    <col width="10" customWidth="1" min="8" max="8"/>
    <col width="62" customWidth="1" min="9" max="9"/>
    <col width="16" customWidth="1" min="10" max="10"/>
    <col width="24" customWidth="1" min="11" max="11"/>
    <col width="11" customWidth="1" min="12" max="12"/>
    <col width="46" customWidth="1" min="13" max="13"/>
  </cols>
  <sheetData>
    <row r="1" ht="28" customHeight="1">
      <c r="A1" s="24" t="inlineStr">
        <is>
          <t>Date</t>
        </is>
      </c>
      <c r="B1" s="24" t="inlineStr">
        <is>
          <t>Day</t>
        </is>
      </c>
      <c r="C1" s="24" t="inlineStr">
        <is>
          <t>Wk</t>
        </is>
      </c>
      <c r="D1" s="24" t="inlineStr">
        <is>
          <t>Qtr</t>
        </is>
      </c>
      <c r="E1" s="24" t="inlineStr">
        <is>
          <t>Who</t>
        </is>
      </c>
      <c r="F1" s="24" t="inlineStr">
        <is>
          <t>Cohort</t>
        </is>
      </c>
      <c r="G1" s="24" t="inlineStr">
        <is>
          <t>Tier</t>
        </is>
      </c>
      <c r="H1" s="24" t="inlineStr">
        <is>
          <t>Channel</t>
        </is>
      </c>
      <c r="I1" s="24" t="inlineStr">
        <is>
          <t>What the call is for</t>
        </is>
      </c>
      <c r="J1" s="24" t="inlineStr">
        <is>
          <t>Phone</t>
        </is>
      </c>
      <c r="K1" s="24" t="inlineStr">
        <is>
          <t>Email</t>
        </is>
      </c>
      <c r="L1" s="24" t="inlineStr">
        <is>
          <t>Status</t>
        </is>
      </c>
      <c r="M1" s="24" t="inlineStr">
        <is>
          <t>Notes from the call</t>
        </is>
      </c>
    </row>
    <row r="2" ht="30" customHeight="1">
      <c r="A2" s="25" t="n">
        <v>46271</v>
      </c>
      <c r="B2" s="26" t="inlineStr">
        <is>
          <t>Sun</t>
        </is>
      </c>
      <c r="C2" s="26" t="n">
        <v>1</v>
      </c>
      <c r="D2" s="26" t="inlineStr">
        <is>
          <t>Q1</t>
        </is>
      </c>
      <c r="E2" s="26" t="inlineStr">
        <is>
          <t>Assaf Monsa</t>
        </is>
      </c>
      <c r="F2" s="26" t="inlineStr">
        <is>
          <t>#1</t>
        </is>
      </c>
      <c r="G2" s="27" t="inlineStr">
        <is>
          <t>A</t>
        </is>
      </c>
      <c r="H2" s="26" t="inlineStr">
        <is>
          <t>phone</t>
        </is>
      </c>
      <c r="I2" s="28" t="inlineStr">
        <is>
          <t>Node candidate. What can they open for our alumni, and would they give office hours?</t>
        </is>
      </c>
      <c r="J2" s="26" t="inlineStr">
        <is>
          <t>+972544319991</t>
        </is>
      </c>
      <c r="K2" s="26" t="inlineStr">
        <is>
          <t>assafmonsa@gmail.com</t>
        </is>
      </c>
      <c r="L2" s="29" t="n"/>
      <c r="M2" s="29" t="n"/>
    </row>
    <row r="3" ht="30" customHeight="1">
      <c r="A3" s="25" t="n">
        <v>46272</v>
      </c>
      <c r="B3" s="26" t="inlineStr">
        <is>
          <t>Mon</t>
        </is>
      </c>
      <c r="C3" s="26" t="n">
        <v>1</v>
      </c>
      <c r="D3" s="26" t="inlineStr">
        <is>
          <t>Q1</t>
        </is>
      </c>
      <c r="E3" s="26" t="inlineStr">
        <is>
          <t>Danny Grander</t>
        </is>
      </c>
      <c r="F3" s="26" t="inlineStr">
        <is>
          <t>#1</t>
        </is>
      </c>
      <c r="G3" s="27" t="inlineStr">
        <is>
          <t>A</t>
        </is>
      </c>
      <c r="H3" s="26" t="inlineStr">
        <is>
          <t>phone</t>
        </is>
      </c>
      <c r="I3" s="28" t="inlineStr">
        <is>
          <t>Node candidate — founded Snyk. What can they open for our alumni, and would they give office hours?</t>
        </is>
      </c>
      <c r="J3" s="26" t="inlineStr">
        <is>
          <t>+972507616594</t>
        </is>
      </c>
      <c r="K3" s="26" t="inlineStr">
        <is>
          <t>danny.grander@gmail.com</t>
        </is>
      </c>
      <c r="L3" s="29" t="n"/>
      <c r="M3" s="29" t="n"/>
    </row>
    <row r="4" ht="30" customHeight="1">
      <c r="A4" s="25" t="n">
        <v>46273</v>
      </c>
      <c r="B4" s="26" t="inlineStr">
        <is>
          <t>Tue</t>
        </is>
      </c>
      <c r="C4" s="26" t="n">
        <v>1</v>
      </c>
      <c r="D4" s="26" t="inlineStr">
        <is>
          <t>Q1</t>
        </is>
      </c>
      <c r="E4" s="26" t="inlineStr">
        <is>
          <t>Eldad Kepten</t>
        </is>
      </c>
      <c r="F4" s="26" t="inlineStr">
        <is>
          <t>#1</t>
        </is>
      </c>
      <c r="G4" s="30" t="inlineStr">
        <is>
          <t>B</t>
        </is>
      </c>
      <c r="H4" s="26" t="inlineStr">
        <is>
          <t>linkedin</t>
        </is>
      </c>
      <c r="I4" s="28" t="inlineStr">
        <is>
          <t>What can they give — office hours, referrals, mentoring? And what do they need from us right now?</t>
        </is>
      </c>
      <c r="J4" s="26" t="inlineStr"/>
      <c r="K4" s="26" t="inlineStr"/>
      <c r="L4" s="29" t="n"/>
      <c r="M4" s="29" t="n"/>
    </row>
    <row r="5" ht="30" customHeight="1">
      <c r="A5" s="25" t="n">
        <v>46274</v>
      </c>
      <c r="B5" s="26" t="inlineStr">
        <is>
          <t>Wed</t>
        </is>
      </c>
      <c r="C5" s="26" t="n">
        <v>1</v>
      </c>
      <c r="D5" s="26" t="inlineStr">
        <is>
          <t>Q1</t>
        </is>
      </c>
      <c r="E5" s="26" t="inlineStr">
        <is>
          <t>Aviel Adler</t>
        </is>
      </c>
      <c r="F5" s="26" t="inlineStr">
        <is>
          <t>#1</t>
        </is>
      </c>
      <c r="G5" s="31" t="inlineStr">
        <is>
          <t>C</t>
        </is>
      </c>
      <c r="H5" s="26" t="inlineStr">
        <is>
          <t>phone</t>
        </is>
      </c>
      <c r="I5" s="28" t="inlineStr">
        <is>
          <t>Stay current — what are they working on now, and what would help?</t>
        </is>
      </c>
      <c r="J5" s="26" t="inlineStr">
        <is>
          <t>+972549954666</t>
        </is>
      </c>
      <c r="K5" s="26" t="inlineStr">
        <is>
          <t>avieladler@gmail.com</t>
        </is>
      </c>
      <c r="L5" s="29" t="n"/>
      <c r="M5" s="29" t="n"/>
    </row>
    <row r="6" ht="30" customHeight="1">
      <c r="A6" s="25" t="n">
        <v>46279</v>
      </c>
      <c r="B6" s="26" t="inlineStr">
        <is>
          <t>Mon</t>
        </is>
      </c>
      <c r="C6" s="26" t="n">
        <v>2</v>
      </c>
      <c r="D6" s="26" t="inlineStr">
        <is>
          <t>Q1</t>
        </is>
      </c>
      <c r="E6" s="26" t="inlineStr">
        <is>
          <t>Eyal Kraft</t>
        </is>
      </c>
      <c r="F6" s="26" t="inlineStr">
        <is>
          <t>#1</t>
        </is>
      </c>
      <c r="G6" s="27" t="inlineStr">
        <is>
          <t>A</t>
        </is>
      </c>
      <c r="H6" s="26" t="inlineStr">
        <is>
          <t>linkedin</t>
        </is>
      </c>
      <c r="I6" s="28" t="inlineStr">
        <is>
          <t>Founding track — building this year? What is the blocker, is co-founder the gap, and who should they meet?</t>
        </is>
      </c>
      <c r="J6" s="26" t="inlineStr"/>
      <c r="K6" s="26" t="inlineStr"/>
      <c r="L6" s="29" t="n"/>
      <c r="M6" s="29" t="n"/>
    </row>
    <row r="7" ht="30" customHeight="1">
      <c r="A7" s="25" t="n">
        <v>46280</v>
      </c>
      <c r="B7" s="26" t="inlineStr">
        <is>
          <t>Tue</t>
        </is>
      </c>
      <c r="C7" s="26" t="n">
        <v>2</v>
      </c>
      <c r="D7" s="26" t="inlineStr">
        <is>
          <t>Q1</t>
        </is>
      </c>
      <c r="E7" s="26" t="inlineStr">
        <is>
          <t>Eran Hertzmann</t>
        </is>
      </c>
      <c r="F7" s="26" t="inlineStr">
        <is>
          <t>#1</t>
        </is>
      </c>
      <c r="G7" s="30" t="inlineStr">
        <is>
          <t>B</t>
        </is>
      </c>
      <c r="H7" s="26" t="inlineStr">
        <is>
          <t>phone</t>
        </is>
      </c>
      <c r="I7" s="28" t="inlineStr">
        <is>
          <t>What can they give — office hours, referrals, mentoring? And what do they need from us right now?</t>
        </is>
      </c>
      <c r="J7" s="26" t="inlineStr">
        <is>
          <t>+972545424895</t>
        </is>
      </c>
      <c r="K7" s="26" t="inlineStr">
        <is>
          <t>eran.hertzmann@gmail.com</t>
        </is>
      </c>
      <c r="L7" s="29" t="n"/>
      <c r="M7" s="29" t="n"/>
    </row>
    <row r="8" ht="30" customHeight="1">
      <c r="A8" s="25" t="n">
        <v>46281</v>
      </c>
      <c r="B8" s="26" t="inlineStr">
        <is>
          <t>Wed</t>
        </is>
      </c>
      <c r="C8" s="26" t="n">
        <v>2</v>
      </c>
      <c r="D8" s="26" t="inlineStr">
        <is>
          <t>Q1</t>
        </is>
      </c>
      <c r="E8" s="26" t="inlineStr">
        <is>
          <t>Gai Gutherz</t>
        </is>
      </c>
      <c r="F8" s="26" t="inlineStr">
        <is>
          <t>#1</t>
        </is>
      </c>
      <c r="G8" s="30" t="inlineStr">
        <is>
          <t>B</t>
        </is>
      </c>
      <c r="H8" s="26" t="inlineStr">
        <is>
          <t>linkedin</t>
        </is>
      </c>
      <c r="I8" s="28" t="inlineStr">
        <is>
          <t>What can they give — office hours, referrals into Miggo, mentoring? And what do they need from us right now?</t>
        </is>
      </c>
      <c r="J8" s="26" t="inlineStr"/>
      <c r="K8" s="26" t="inlineStr"/>
      <c r="L8" s="29" t="n"/>
      <c r="M8" s="29" t="n"/>
    </row>
    <row r="9" ht="30" customHeight="1">
      <c r="A9" s="25" t="n">
        <v>46282</v>
      </c>
      <c r="B9" s="26" t="inlineStr">
        <is>
          <t>Thu</t>
        </is>
      </c>
      <c r="C9" s="26" t="n">
        <v>2</v>
      </c>
      <c r="D9" s="26" t="inlineStr">
        <is>
          <t>Q1</t>
        </is>
      </c>
      <c r="E9" s="26" t="inlineStr">
        <is>
          <t>Daniel Ohayon</t>
        </is>
      </c>
      <c r="F9" s="26" t="inlineStr">
        <is>
          <t>#1</t>
        </is>
      </c>
      <c r="G9" s="31" t="inlineStr">
        <is>
          <t>C</t>
        </is>
      </c>
      <c r="H9" s="26" t="inlineStr">
        <is>
          <t>phone</t>
        </is>
      </c>
      <c r="I9" s="28" t="inlineStr">
        <is>
          <t>Stay current — what are they working on in research now, and what would help?</t>
        </is>
      </c>
      <c r="J9" s="26" t="inlineStr">
        <is>
          <t>+972524056440</t>
        </is>
      </c>
      <c r="K9" s="26" t="inlineStr"/>
      <c r="L9" s="29" t="n"/>
      <c r="M9" s="29" t="n"/>
    </row>
    <row r="10" ht="30" customHeight="1">
      <c r="A10" s="25" t="n">
        <v>46287</v>
      </c>
      <c r="B10" s="26" t="inlineStr">
        <is>
          <t>Tue</t>
        </is>
      </c>
      <c r="C10" s="26" t="n">
        <v>3</v>
      </c>
      <c r="D10" s="26" t="inlineStr">
        <is>
          <t>Q1</t>
        </is>
      </c>
      <c r="E10" s="26" t="inlineStr">
        <is>
          <t>Inbal Beracha</t>
        </is>
      </c>
      <c r="F10" s="26" t="inlineStr">
        <is>
          <t>#1</t>
        </is>
      </c>
      <c r="G10" s="27" t="inlineStr">
        <is>
          <t>A</t>
        </is>
      </c>
      <c r="H10" s="26" t="inlineStr">
        <is>
          <t>linkedin</t>
        </is>
      </c>
      <c r="I10" s="28" t="inlineStr">
        <is>
          <t>Founding track — building this year? What is the blocker, is co-founder the gap, and who should they meet?</t>
        </is>
      </c>
      <c r="J10" s="26" t="inlineStr"/>
      <c r="K10" s="26" t="inlineStr"/>
      <c r="L10" s="29" t="n"/>
      <c r="M10" s="29" t="n"/>
    </row>
    <row r="11" ht="30" customHeight="1">
      <c r="A11" s="25" t="n">
        <v>46288</v>
      </c>
      <c r="B11" s="26" t="inlineStr">
        <is>
          <t>Wed</t>
        </is>
      </c>
      <c r="C11" s="26" t="n">
        <v>3</v>
      </c>
      <c r="D11" s="26" t="inlineStr">
        <is>
          <t>Q1</t>
        </is>
      </c>
      <c r="E11" s="26" t="inlineStr">
        <is>
          <t>Meir Adest</t>
        </is>
      </c>
      <c r="F11" s="26" t="inlineStr">
        <is>
          <t>#1</t>
        </is>
      </c>
      <c r="G11" s="27" t="inlineStr">
        <is>
          <t>A</t>
        </is>
      </c>
      <c r="H11" s="26" t="inlineStr">
        <is>
          <t>linkedin</t>
        </is>
      </c>
      <c r="I11" s="28" t="inlineStr">
        <is>
          <t>Node candidate. What can they open for our alumni, and would they give office hours?</t>
        </is>
      </c>
      <c r="J11" s="26" t="inlineStr"/>
      <c r="K11" s="26" t="inlineStr"/>
      <c r="L11" s="29" t="n"/>
      <c r="M11" s="29" t="n"/>
    </row>
    <row r="12" ht="30" customHeight="1">
      <c r="A12" s="25" t="n">
        <v>46289</v>
      </c>
      <c r="B12" s="26" t="inlineStr">
        <is>
          <t>Thu</t>
        </is>
      </c>
      <c r="C12" s="26" t="n">
        <v>3</v>
      </c>
      <c r="D12" s="26" t="inlineStr">
        <is>
          <t>Q1</t>
        </is>
      </c>
      <c r="E12" s="26" t="inlineStr">
        <is>
          <t>Michal Shilo</t>
        </is>
      </c>
      <c r="F12" s="26" t="inlineStr">
        <is>
          <t>#1</t>
        </is>
      </c>
      <c r="G12" s="30" t="inlineStr">
        <is>
          <t>B</t>
        </is>
      </c>
      <c r="H12" s="26" t="inlineStr">
        <is>
          <t>phone</t>
        </is>
      </c>
      <c r="I12" s="28" t="inlineStr">
        <is>
          <t>What can they give — office hours, referrals, mentoring? And what do they need from us right now?</t>
        </is>
      </c>
      <c r="J12" s="26" t="inlineStr">
        <is>
          <t>+972524598022</t>
        </is>
      </c>
      <c r="K12" s="26" t="inlineStr">
        <is>
          <t>michalshilo6@gmail.com</t>
        </is>
      </c>
      <c r="L12" s="29" t="n"/>
      <c r="M12" s="29" t="n"/>
    </row>
    <row r="13" ht="30" customHeight="1">
      <c r="A13" s="25" t="n">
        <v>46299</v>
      </c>
      <c r="B13" s="26" t="inlineStr">
        <is>
          <t>Sun</t>
        </is>
      </c>
      <c r="C13" s="26" t="n">
        <v>4</v>
      </c>
      <c r="D13" s="26" t="inlineStr">
        <is>
          <t>Q1</t>
        </is>
      </c>
      <c r="E13" s="26" t="inlineStr">
        <is>
          <t>Michael Kellner</t>
        </is>
      </c>
      <c r="F13" s="26" t="inlineStr">
        <is>
          <t>#1</t>
        </is>
      </c>
      <c r="G13" s="27" t="inlineStr">
        <is>
          <t>A</t>
        </is>
      </c>
      <c r="H13" s="26" t="inlineStr">
        <is>
          <t>phone</t>
        </is>
      </c>
      <c r="I13" s="28" t="inlineStr">
        <is>
          <t>Node candidate — founded SendBlocks. What can they open for our alumni, and would they give office hours?</t>
        </is>
      </c>
      <c r="J13" s="26" t="inlineStr">
        <is>
          <t>+972545311213</t>
        </is>
      </c>
      <c r="K13" s="26" t="inlineStr">
        <is>
          <t>mike53il@gmail.com</t>
        </is>
      </c>
      <c r="L13" s="29" t="n"/>
      <c r="M13" s="29" t="n"/>
    </row>
    <row r="14" ht="30" customHeight="1">
      <c r="A14" s="25" t="n">
        <v>46300</v>
      </c>
      <c r="B14" s="26" t="inlineStr">
        <is>
          <t>Mon</t>
        </is>
      </c>
      <c r="C14" s="26" t="n">
        <v>4</v>
      </c>
      <c r="D14" s="26" t="inlineStr">
        <is>
          <t>Q1</t>
        </is>
      </c>
      <c r="E14" s="26" t="inlineStr">
        <is>
          <t>Nadav Zemach</t>
        </is>
      </c>
      <c r="F14" s="26" t="inlineStr">
        <is>
          <t>#1</t>
        </is>
      </c>
      <c r="G14" s="30" t="inlineStr">
        <is>
          <t>B</t>
        </is>
      </c>
      <c r="H14" s="26" t="inlineStr">
        <is>
          <t>linkedin</t>
        </is>
      </c>
      <c r="I14" s="28" t="inlineStr">
        <is>
          <t>What can they give — office hours, referrals, mentoring? And what do they need from us right now?</t>
        </is>
      </c>
      <c r="J14" s="26" t="inlineStr"/>
      <c r="K14" s="26" t="inlineStr"/>
      <c r="L14" s="29" t="n"/>
      <c r="M14" s="29" t="n"/>
    </row>
    <row r="15" ht="30" customHeight="1">
      <c r="A15" s="25" t="n">
        <v>46301</v>
      </c>
      <c r="B15" s="26" t="inlineStr">
        <is>
          <t>Tue</t>
        </is>
      </c>
      <c r="C15" s="26" t="n">
        <v>4</v>
      </c>
      <c r="D15" s="26" t="inlineStr">
        <is>
          <t>Q1</t>
        </is>
      </c>
      <c r="E15" s="26" t="inlineStr">
        <is>
          <t>Noy Duany</t>
        </is>
      </c>
      <c r="F15" s="26" t="inlineStr">
        <is>
          <t>#1</t>
        </is>
      </c>
      <c r="G15" s="30" t="inlineStr">
        <is>
          <t>B</t>
        </is>
      </c>
      <c r="H15" s="26" t="inlineStr">
        <is>
          <t>linkedin</t>
        </is>
      </c>
      <c r="I15" s="28" t="inlineStr">
        <is>
          <t>What can they give — office hours, referrals into Hopper Security, mentoring? And what do they need from us right now?</t>
        </is>
      </c>
      <c r="J15" s="26" t="inlineStr"/>
      <c r="K15" s="26" t="inlineStr"/>
      <c r="L15" s="29" t="n"/>
      <c r="M15" s="29" t="n"/>
    </row>
    <row r="16" ht="30" customHeight="1">
      <c r="A16" s="25" t="n">
        <v>46302</v>
      </c>
      <c r="B16" s="26" t="inlineStr">
        <is>
          <t>Wed</t>
        </is>
      </c>
      <c r="C16" s="26" t="n">
        <v>4</v>
      </c>
      <c r="D16" s="26" t="inlineStr">
        <is>
          <t>Q1</t>
        </is>
      </c>
      <c r="E16" s="26" t="inlineStr">
        <is>
          <t>Dror Ben Eliezer</t>
        </is>
      </c>
      <c r="F16" s="26" t="inlineStr">
        <is>
          <t>#1</t>
        </is>
      </c>
      <c r="G16" s="31" t="inlineStr">
        <is>
          <t>C</t>
        </is>
      </c>
      <c r="H16" s="26" t="inlineStr">
        <is>
          <t>linkedin</t>
        </is>
      </c>
      <c r="I16" s="28" t="inlineStr">
        <is>
          <t>Stay current — what are they working on in product-gtm now, and what would help?</t>
        </is>
      </c>
      <c r="J16" s="26" t="inlineStr"/>
      <c r="K16" s="26" t="inlineStr"/>
      <c r="L16" s="29" t="n"/>
      <c r="M16" s="29" t="n"/>
    </row>
    <row r="17" ht="30" customHeight="1">
      <c r="A17" s="25" t="n">
        <v>46306</v>
      </c>
      <c r="B17" s="26" t="inlineStr">
        <is>
          <t>Sun</t>
        </is>
      </c>
      <c r="C17" s="26" t="n">
        <v>5</v>
      </c>
      <c r="D17" s="26" t="inlineStr">
        <is>
          <t>Q1</t>
        </is>
      </c>
      <c r="E17" s="26" t="inlineStr">
        <is>
          <t>Uri Shaked</t>
        </is>
      </c>
      <c r="F17" s="26" t="inlineStr">
        <is>
          <t>#1</t>
        </is>
      </c>
      <c r="G17" s="27" t="inlineStr">
        <is>
          <t>A</t>
        </is>
      </c>
      <c r="H17" s="26" t="inlineStr">
        <is>
          <t>linkedin</t>
        </is>
      </c>
      <c r="I17" s="28" t="inlineStr">
        <is>
          <t>Node candidate. What can they open for our alumni, and would they give office hours?</t>
        </is>
      </c>
      <c r="J17" s="26" t="inlineStr"/>
      <c r="K17" s="26" t="inlineStr"/>
      <c r="L17" s="29" t="n"/>
      <c r="M17" s="29" t="n"/>
    </row>
    <row r="18" ht="30" customHeight="1">
      <c r="A18" s="25" t="n">
        <v>46307</v>
      </c>
      <c r="B18" s="26" t="inlineStr">
        <is>
          <t>Mon</t>
        </is>
      </c>
      <c r="C18" s="26" t="n">
        <v>5</v>
      </c>
      <c r="D18" s="26" t="inlineStr">
        <is>
          <t>Q1</t>
        </is>
      </c>
      <c r="E18" s="26" t="inlineStr">
        <is>
          <t>Zvi Wexlstein</t>
        </is>
      </c>
      <c r="F18" s="26" t="inlineStr">
        <is>
          <t>#1</t>
        </is>
      </c>
      <c r="G18" s="27" t="inlineStr">
        <is>
          <t>A</t>
        </is>
      </c>
      <c r="H18" s="26" t="inlineStr">
        <is>
          <t>email</t>
        </is>
      </c>
      <c r="I18" s="28" t="inlineStr">
        <is>
          <t>Transition point — what are they building or moving toward, what is the blocker, and who should they meet?</t>
        </is>
      </c>
      <c r="J18" s="26" t="inlineStr"/>
      <c r="K18" s="26" t="inlineStr">
        <is>
          <t>zviwex@gmail.com</t>
        </is>
      </c>
      <c r="L18" s="29" t="n"/>
      <c r="M18" s="29" t="n"/>
    </row>
    <row r="19" ht="30" customHeight="1">
      <c r="A19" s="25" t="n">
        <v>46308</v>
      </c>
      <c r="B19" s="26" t="inlineStr">
        <is>
          <t>Tue</t>
        </is>
      </c>
      <c r="C19" s="26" t="n">
        <v>5</v>
      </c>
      <c r="D19" s="26" t="inlineStr">
        <is>
          <t>Q1</t>
        </is>
      </c>
      <c r="E19" s="26" t="inlineStr">
        <is>
          <t>Ohad Amosy</t>
        </is>
      </c>
      <c r="F19" s="26" t="inlineStr">
        <is>
          <t>#1</t>
        </is>
      </c>
      <c r="G19" s="30" t="inlineStr">
        <is>
          <t>B</t>
        </is>
      </c>
      <c r="H19" s="26" t="inlineStr">
        <is>
          <t>linkedin</t>
        </is>
      </c>
      <c r="I19" s="28" t="inlineStr">
        <is>
          <t>What can they give — office hours, referrals, mentoring? And what do they need from us right now?</t>
        </is>
      </c>
      <c r="J19" s="26" t="inlineStr"/>
      <c r="K19" s="26" t="inlineStr"/>
      <c r="L19" s="29" t="n"/>
      <c r="M19" s="29" t="n"/>
    </row>
    <row r="20" ht="30" customHeight="1">
      <c r="A20" s="25" t="n">
        <v>46309</v>
      </c>
      <c r="B20" s="26" t="inlineStr">
        <is>
          <t>Wed</t>
        </is>
      </c>
      <c r="C20" s="26" t="n">
        <v>5</v>
      </c>
      <c r="D20" s="26" t="inlineStr">
        <is>
          <t>Q1</t>
        </is>
      </c>
      <c r="E20" s="26" t="inlineStr">
        <is>
          <t>Omer Hay</t>
        </is>
      </c>
      <c r="F20" s="26" t="inlineStr">
        <is>
          <t>#1</t>
        </is>
      </c>
      <c r="G20" s="30" t="inlineStr">
        <is>
          <t>B</t>
        </is>
      </c>
      <c r="H20" s="26" t="inlineStr">
        <is>
          <t>linkedin</t>
        </is>
      </c>
      <c r="I20" s="28" t="inlineStr">
        <is>
          <t>What can they give — office hours, referrals, mentoring? And what do they need from us right now?</t>
        </is>
      </c>
      <c r="J20" s="26" t="inlineStr"/>
      <c r="K20" s="26" t="inlineStr"/>
      <c r="L20" s="29" t="n"/>
      <c r="M20" s="29" t="n"/>
    </row>
    <row r="21" ht="30" customHeight="1">
      <c r="A21" s="25" t="n">
        <v>46313</v>
      </c>
      <c r="B21" s="26" t="inlineStr">
        <is>
          <t>Sun</t>
        </is>
      </c>
      <c r="C21" s="26" t="n">
        <v>6</v>
      </c>
      <c r="D21" s="26" t="inlineStr">
        <is>
          <t>Q1</t>
        </is>
      </c>
      <c r="E21" s="26" t="inlineStr">
        <is>
          <t>Rami Anati</t>
        </is>
      </c>
      <c r="F21" s="26" t="inlineStr">
        <is>
          <t>#1</t>
        </is>
      </c>
      <c r="G21" s="30" t="inlineStr">
        <is>
          <t>B</t>
        </is>
      </c>
      <c r="H21" s="26" t="inlineStr">
        <is>
          <t>linkedin</t>
        </is>
      </c>
      <c r="I21" s="28" t="inlineStr">
        <is>
          <t>What can they give — office hours, referrals, mentoring? And what do they need from us right now?</t>
        </is>
      </c>
      <c r="J21" s="26" t="inlineStr"/>
      <c r="K21" s="26" t="inlineStr"/>
      <c r="L21" s="29" t="n"/>
      <c r="M21" s="29" t="n"/>
    </row>
    <row r="22" ht="30" customHeight="1">
      <c r="A22" s="25" t="n">
        <v>46314</v>
      </c>
      <c r="B22" s="26" t="inlineStr">
        <is>
          <t>Mon</t>
        </is>
      </c>
      <c r="C22" s="26" t="n">
        <v>6</v>
      </c>
      <c r="D22" s="26" t="inlineStr">
        <is>
          <t>Q1</t>
        </is>
      </c>
      <c r="E22" s="26" t="inlineStr">
        <is>
          <t>Eran Hirsch</t>
        </is>
      </c>
      <c r="F22" s="26" t="inlineStr">
        <is>
          <t>#1</t>
        </is>
      </c>
      <c r="G22" s="31" t="inlineStr">
        <is>
          <t>C</t>
        </is>
      </c>
      <c r="H22" s="26" t="inlineStr">
        <is>
          <t>phone</t>
        </is>
      </c>
      <c r="I22" s="28" t="inlineStr">
        <is>
          <t>Stay current — what are they working on in infra-systems now, and what would help?</t>
        </is>
      </c>
      <c r="J22" s="26" t="inlineStr">
        <is>
          <t>+972548303525</t>
        </is>
      </c>
      <c r="K22" s="26" t="inlineStr">
        <is>
          <t>eranhirsch@gmail.com</t>
        </is>
      </c>
      <c r="L22" s="29" t="n"/>
      <c r="M22" s="29" t="n"/>
    </row>
    <row r="23" ht="30" customHeight="1">
      <c r="A23" s="25" t="n">
        <v>46315</v>
      </c>
      <c r="B23" s="26" t="inlineStr">
        <is>
          <t>Tue</t>
        </is>
      </c>
      <c r="C23" s="26" t="n">
        <v>6</v>
      </c>
      <c r="D23" s="26" t="inlineStr">
        <is>
          <t>Q1</t>
        </is>
      </c>
      <c r="E23" s="26" t="inlineStr">
        <is>
          <t>Almog Zer</t>
        </is>
      </c>
      <c r="F23" s="26" t="inlineStr">
        <is>
          <t>#2</t>
        </is>
      </c>
      <c r="G23" s="27" t="inlineStr">
        <is>
          <t>A</t>
        </is>
      </c>
      <c r="H23" s="26" t="inlineStr">
        <is>
          <t>phone</t>
        </is>
      </c>
      <c r="I23" s="28" t="inlineStr">
        <is>
          <t>Founding track — building this year? What is the blocker, is co-founder the gap, and who should they meet?</t>
        </is>
      </c>
      <c r="J23" s="26" t="inlineStr">
        <is>
          <t>+972507363131</t>
        </is>
      </c>
      <c r="K23" s="26" t="inlineStr">
        <is>
          <t>almogx3@gmail.com</t>
        </is>
      </c>
      <c r="L23" s="29" t="n"/>
      <c r="M23" s="29" t="n"/>
    </row>
    <row r="24" ht="30" customHeight="1">
      <c r="A24" s="25" t="n">
        <v>46320</v>
      </c>
      <c r="B24" s="26" t="inlineStr">
        <is>
          <t>Sun</t>
        </is>
      </c>
      <c r="C24" s="26" t="n">
        <v>7</v>
      </c>
      <c r="D24" s="26" t="inlineStr">
        <is>
          <t>Q1</t>
        </is>
      </c>
      <c r="E24" s="26" t="inlineStr">
        <is>
          <t>Roee Yaron</t>
        </is>
      </c>
      <c r="F24" s="26" t="inlineStr">
        <is>
          <t>#1</t>
        </is>
      </c>
      <c r="G24" s="30" t="inlineStr">
        <is>
          <t>B</t>
        </is>
      </c>
      <c r="H24" s="26" t="inlineStr">
        <is>
          <t>linkedin</t>
        </is>
      </c>
      <c r="I24" s="28" t="inlineStr">
        <is>
          <t>What can they give — office hours, referrals into Ministry of Defense, mentoring? And what do they need from us right now?</t>
        </is>
      </c>
      <c r="J24" s="26" t="inlineStr"/>
      <c r="K24" s="26" t="inlineStr"/>
      <c r="L24" s="29" t="n"/>
      <c r="M24" s="29" t="n"/>
    </row>
    <row r="25" ht="30" customHeight="1">
      <c r="A25" s="25" t="n">
        <v>46321</v>
      </c>
      <c r="B25" s="26" t="inlineStr">
        <is>
          <t>Mon</t>
        </is>
      </c>
      <c r="C25" s="26" t="n">
        <v>7</v>
      </c>
      <c r="D25" s="26" t="inlineStr">
        <is>
          <t>Q1</t>
        </is>
      </c>
      <c r="E25" s="26" t="inlineStr">
        <is>
          <t>Nir Yaron</t>
        </is>
      </c>
      <c r="F25" s="26" t="inlineStr">
        <is>
          <t>#1</t>
        </is>
      </c>
      <c r="G25" s="31" t="inlineStr">
        <is>
          <t>C</t>
        </is>
      </c>
      <c r="H25" s="26" t="inlineStr">
        <is>
          <t>linkedin</t>
        </is>
      </c>
      <c r="I25" s="28" t="inlineStr">
        <is>
          <t>Roll-up — no verified role on file. What are they doing now, where are they heading, and what do they need?</t>
        </is>
      </c>
      <c r="J25" s="26" t="inlineStr"/>
      <c r="K25" s="26" t="inlineStr"/>
      <c r="L25" s="29" t="n"/>
      <c r="M25" s="29" t="n"/>
    </row>
    <row r="26" ht="30" customHeight="1">
      <c r="A26" s="25" t="n">
        <v>46323</v>
      </c>
      <c r="B26" s="26" t="inlineStr">
        <is>
          <t>Wed</t>
        </is>
      </c>
      <c r="C26" s="26" t="n">
        <v>7</v>
      </c>
      <c r="D26" s="26" t="inlineStr">
        <is>
          <t>Q1</t>
        </is>
      </c>
      <c r="E26" s="26" t="inlineStr">
        <is>
          <t>Bar Matityahu</t>
        </is>
      </c>
      <c r="F26" s="26" t="inlineStr">
        <is>
          <t>#2</t>
        </is>
      </c>
      <c r="G26" s="27" t="inlineStr">
        <is>
          <t>A</t>
        </is>
      </c>
      <c r="H26" s="26" t="inlineStr">
        <is>
          <t>phone</t>
        </is>
      </c>
      <c r="I26" s="28" t="inlineStr">
        <is>
          <t>Founding track — building this year? What is the blocker, is co-founder the gap, and who should they meet?</t>
        </is>
      </c>
      <c r="J26" s="26" t="inlineStr">
        <is>
          <t>+972525892000</t>
        </is>
      </c>
      <c r="K26" s="26" t="inlineStr">
        <is>
          <t>barmatit@gmail.com</t>
        </is>
      </c>
      <c r="L26" s="29" t="n"/>
      <c r="M26" s="29" t="n"/>
    </row>
    <row r="27" ht="30" customHeight="1">
      <c r="A27" s="25" t="n">
        <v>46324</v>
      </c>
      <c r="B27" s="26" t="inlineStr">
        <is>
          <t>Thu</t>
        </is>
      </c>
      <c r="C27" s="26" t="n">
        <v>7</v>
      </c>
      <c r="D27" s="26" t="inlineStr">
        <is>
          <t>Q1</t>
        </is>
      </c>
      <c r="E27" s="26" t="inlineStr">
        <is>
          <t>Benny Rousso</t>
        </is>
      </c>
      <c r="F27" s="26" t="inlineStr">
        <is>
          <t>#2</t>
        </is>
      </c>
      <c r="G27" s="27" t="inlineStr">
        <is>
          <t>A</t>
        </is>
      </c>
      <c r="H27" s="26" t="inlineStr">
        <is>
          <t>phone</t>
        </is>
      </c>
      <c r="I27" s="28" t="inlineStr">
        <is>
          <t>Node candidate — founded Xcardia. What can they open for our alumni, and would they give office hours?</t>
        </is>
      </c>
      <c r="J27" s="26" t="inlineStr">
        <is>
          <t>+972544345653</t>
        </is>
      </c>
      <c r="K27" s="26" t="inlineStr">
        <is>
          <t>rousso.benny@gmail.com</t>
        </is>
      </c>
      <c r="L27" s="29" t="n"/>
      <c r="M27" s="29" t="n"/>
    </row>
    <row r="28" ht="30" customHeight="1">
      <c r="A28" s="25" t="n">
        <v>46327</v>
      </c>
      <c r="B28" s="26" t="inlineStr">
        <is>
          <t>Sun</t>
        </is>
      </c>
      <c r="C28" s="26" t="n">
        <v>8</v>
      </c>
      <c r="D28" s="26" t="inlineStr">
        <is>
          <t>Q1</t>
        </is>
      </c>
      <c r="E28" s="26" t="inlineStr">
        <is>
          <t>Ronen Tur</t>
        </is>
      </c>
      <c r="F28" s="26" t="inlineStr">
        <is>
          <t>#1</t>
        </is>
      </c>
      <c r="G28" s="30" t="inlineStr">
        <is>
          <t>B</t>
        </is>
      </c>
      <c r="H28" s="26" t="inlineStr">
        <is>
          <t>linkedin</t>
        </is>
      </c>
      <c r="I28" s="28" t="inlineStr">
        <is>
          <t>What can they give — office hours, referrals, mentoring? And what do they need from us right now?</t>
        </is>
      </c>
      <c r="J28" s="26" t="inlineStr"/>
      <c r="K28" s="26" t="inlineStr"/>
      <c r="L28" s="29" t="n"/>
      <c r="M28" s="29" t="n"/>
    </row>
    <row r="29" ht="30" customHeight="1">
      <c r="A29" s="25" t="n">
        <v>46328</v>
      </c>
      <c r="B29" s="26" t="inlineStr">
        <is>
          <t>Mon</t>
        </is>
      </c>
      <c r="C29" s="26" t="n">
        <v>8</v>
      </c>
      <c r="D29" s="26" t="inlineStr">
        <is>
          <t>Q1</t>
        </is>
      </c>
      <c r="E29" s="26" t="inlineStr">
        <is>
          <t>Shachar Cohen</t>
        </is>
      </c>
      <c r="F29" s="26" t="inlineStr">
        <is>
          <t>#1</t>
        </is>
      </c>
      <c r="G29" s="30" t="inlineStr">
        <is>
          <t>B</t>
        </is>
      </c>
      <c r="H29" s="26" t="inlineStr">
        <is>
          <t>linkedin</t>
        </is>
      </c>
      <c r="I29" s="28" t="inlineStr">
        <is>
          <t>What can they give — office hours, referrals, mentoring? And what do they need from us right now?</t>
        </is>
      </c>
      <c r="J29" s="26" t="inlineStr"/>
      <c r="K29" s="26" t="inlineStr"/>
      <c r="L29" s="29" t="n"/>
      <c r="M29" s="29" t="n"/>
    </row>
    <row r="30" ht="30" customHeight="1">
      <c r="A30" s="25" t="n">
        <v>46329</v>
      </c>
      <c r="B30" s="26" t="inlineStr">
        <is>
          <t>Tue</t>
        </is>
      </c>
      <c r="C30" s="26" t="n">
        <v>8</v>
      </c>
      <c r="D30" s="26" t="inlineStr">
        <is>
          <t>Q1</t>
        </is>
      </c>
      <c r="E30" s="26" t="inlineStr">
        <is>
          <t>Gal Wiernik</t>
        </is>
      </c>
      <c r="F30" s="26" t="inlineStr">
        <is>
          <t>#2</t>
        </is>
      </c>
      <c r="G30" s="27" t="inlineStr">
        <is>
          <t>A</t>
        </is>
      </c>
      <c r="H30" s="26" t="inlineStr">
        <is>
          <t>phone</t>
        </is>
      </c>
      <c r="I30" s="28" t="inlineStr">
        <is>
          <t>Node candidate — founded Edwin. What can they open for our alumni, and would they give office hours?</t>
        </is>
      </c>
      <c r="J30" s="26" t="inlineStr">
        <is>
          <t>+972502338655</t>
        </is>
      </c>
      <c r="K30" s="26" t="inlineStr">
        <is>
          <t>galwiernik@gmail.com</t>
        </is>
      </c>
      <c r="L30" s="29" t="n"/>
      <c r="M30" s="29" t="n"/>
    </row>
    <row r="31" ht="30" customHeight="1">
      <c r="A31" s="25" t="n">
        <v>46330</v>
      </c>
      <c r="B31" s="26" t="inlineStr">
        <is>
          <t>Wed</t>
        </is>
      </c>
      <c r="C31" s="26" t="n">
        <v>8</v>
      </c>
      <c r="D31" s="26" t="inlineStr">
        <is>
          <t>Q1</t>
        </is>
      </c>
      <c r="E31" s="26" t="inlineStr">
        <is>
          <t>Guy Yoshpe</t>
        </is>
      </c>
      <c r="F31" s="26" t="inlineStr">
        <is>
          <t>#2</t>
        </is>
      </c>
      <c r="G31" s="27" t="inlineStr">
        <is>
          <t>A</t>
        </is>
      </c>
      <c r="H31" s="26" t="inlineStr">
        <is>
          <t>phone</t>
        </is>
      </c>
      <c r="I31" s="28" t="inlineStr">
        <is>
          <t>Founding track — building this year? What is the blocker, is co-founder the gap, and who should they meet?</t>
        </is>
      </c>
      <c r="J31" s="26" t="inlineStr">
        <is>
          <t>+972508717313</t>
        </is>
      </c>
      <c r="K31" s="26" t="inlineStr">
        <is>
          <t>yoshpe@gmail.com</t>
        </is>
      </c>
      <c r="L31" s="29" t="n"/>
      <c r="M31" s="29" t="n"/>
    </row>
    <row r="32" ht="30" customHeight="1">
      <c r="A32" s="25" t="n">
        <v>46334</v>
      </c>
      <c r="B32" s="26" t="inlineStr">
        <is>
          <t>Sun</t>
        </is>
      </c>
      <c r="C32" s="26" t="n">
        <v>9</v>
      </c>
      <c r="D32" s="26" t="inlineStr">
        <is>
          <t>Q1</t>
        </is>
      </c>
      <c r="E32" s="26" t="inlineStr">
        <is>
          <t>Shai Elroy</t>
        </is>
      </c>
      <c r="F32" s="26" t="inlineStr">
        <is>
          <t>#1</t>
        </is>
      </c>
      <c r="G32" s="30" t="inlineStr">
        <is>
          <t>B</t>
        </is>
      </c>
      <c r="H32" s="26" t="inlineStr">
        <is>
          <t>linkedin</t>
        </is>
      </c>
      <c r="I32" s="28" t="inlineStr">
        <is>
          <t>What can they give — office hours, referrals, mentoring? And what do they need from us right now?</t>
        </is>
      </c>
      <c r="J32" s="26" t="inlineStr"/>
      <c r="K32" s="26" t="inlineStr"/>
      <c r="L32" s="29" t="n"/>
      <c r="M32" s="29" t="n"/>
    </row>
    <row r="33" ht="30" customHeight="1">
      <c r="A33" s="25" t="n">
        <v>46335</v>
      </c>
      <c r="B33" s="26" t="inlineStr">
        <is>
          <t>Mon</t>
        </is>
      </c>
      <c r="C33" s="26" t="n">
        <v>9</v>
      </c>
      <c r="D33" s="26" t="inlineStr">
        <is>
          <t>Q1</t>
        </is>
      </c>
      <c r="E33" s="26" t="inlineStr">
        <is>
          <t>Hila Shmuel</t>
        </is>
      </c>
      <c r="F33" s="26" t="inlineStr">
        <is>
          <t>#2</t>
        </is>
      </c>
      <c r="G33" s="27" t="inlineStr">
        <is>
          <t>A</t>
        </is>
      </c>
      <c r="H33" s="26" t="inlineStr">
        <is>
          <t>phone</t>
        </is>
      </c>
      <c r="I33" s="28" t="inlineStr">
        <is>
          <t>Node candidate — founded Cabinet (AI workspace). What can they open for our alumni, and would they give office hours?</t>
        </is>
      </c>
      <c r="J33" s="26" t="inlineStr">
        <is>
          <t>+972508871171</t>
        </is>
      </c>
      <c r="K33" s="26" t="inlineStr">
        <is>
          <t>hila4321@gmail.com</t>
        </is>
      </c>
      <c r="L33" s="29" t="n"/>
      <c r="M33" s="29" t="n"/>
    </row>
    <row r="34" ht="30" customHeight="1">
      <c r="A34" s="25" t="n">
        <v>46336</v>
      </c>
      <c r="B34" s="26" t="inlineStr">
        <is>
          <t>Tue</t>
        </is>
      </c>
      <c r="C34" s="26" t="n">
        <v>9</v>
      </c>
      <c r="D34" s="26" t="inlineStr">
        <is>
          <t>Q1</t>
        </is>
      </c>
      <c r="E34" s="26" t="inlineStr">
        <is>
          <t>Aviel Zecharia</t>
        </is>
      </c>
      <c r="F34" s="26" t="inlineStr">
        <is>
          <t>#2</t>
        </is>
      </c>
      <c r="G34" s="30" t="inlineStr">
        <is>
          <t>B</t>
        </is>
      </c>
      <c r="H34" s="26" t="inlineStr">
        <is>
          <t>phone</t>
        </is>
      </c>
      <c r="I34" s="28" t="inlineStr">
        <is>
          <t>What can they give — office hours, referrals into Palo Alto Networks, mentoring? And what do they need from us right now?</t>
        </is>
      </c>
      <c r="J34" s="26" t="inlineStr">
        <is>
          <t>+972547260058</t>
        </is>
      </c>
      <c r="K34" s="26" t="inlineStr">
        <is>
          <t>avielz1199@gmail.com</t>
        </is>
      </c>
      <c r="L34" s="29" t="n"/>
      <c r="M34" s="29" t="n"/>
    </row>
    <row r="35" ht="30" customHeight="1">
      <c r="A35" s="25" t="n">
        <v>46337</v>
      </c>
      <c r="B35" s="26" t="inlineStr">
        <is>
          <t>Wed</t>
        </is>
      </c>
      <c r="C35" s="26" t="n">
        <v>9</v>
      </c>
      <c r="D35" s="26" t="inlineStr">
        <is>
          <t>Q1</t>
        </is>
      </c>
      <c r="E35" s="26" t="inlineStr">
        <is>
          <t>Benzion Kossowsky</t>
        </is>
      </c>
      <c r="F35" s="26" t="inlineStr">
        <is>
          <t>#2</t>
        </is>
      </c>
      <c r="G35" s="31" t="inlineStr">
        <is>
          <t>C</t>
        </is>
      </c>
      <c r="H35" s="26" t="inlineStr">
        <is>
          <t>phone</t>
        </is>
      </c>
      <c r="I35" s="28" t="inlineStr">
        <is>
          <t>Stay current — what are they working on now, and what would help?</t>
        </is>
      </c>
      <c r="J35" s="26" t="inlineStr">
        <is>
          <t>+972543315821</t>
        </is>
      </c>
      <c r="K35" s="26" t="inlineStr">
        <is>
          <t>benzionkossowsky@gmail.com</t>
        </is>
      </c>
      <c r="L35" s="29" t="n"/>
      <c r="M35" s="29" t="n"/>
    </row>
    <row r="36" ht="30" customHeight="1">
      <c r="A36" s="25" t="n">
        <v>46341</v>
      </c>
      <c r="B36" s="26" t="inlineStr">
        <is>
          <t>Sun</t>
        </is>
      </c>
      <c r="C36" s="26" t="n">
        <v>10</v>
      </c>
      <c r="D36" s="26" t="inlineStr">
        <is>
          <t>Q1</t>
        </is>
      </c>
      <c r="E36" s="26" t="inlineStr">
        <is>
          <t>Iddan Golomb</t>
        </is>
      </c>
      <c r="F36" s="26" t="inlineStr">
        <is>
          <t>#2</t>
        </is>
      </c>
      <c r="G36" s="27" t="inlineStr">
        <is>
          <t>A</t>
        </is>
      </c>
      <c r="H36" s="26" t="inlineStr">
        <is>
          <t>phone</t>
        </is>
      </c>
      <c r="I36" s="28" t="inlineStr">
        <is>
          <t>Node candidate — founded Sayata. What can they open for our alumni, and would they give office hours?</t>
        </is>
      </c>
      <c r="J36" s="26" t="inlineStr">
        <is>
          <t>+972542421974</t>
        </is>
      </c>
      <c r="K36" s="26" t="inlineStr">
        <is>
          <t>igolomb@gmail.com</t>
        </is>
      </c>
      <c r="L36" s="29" t="n"/>
      <c r="M36" s="29" t="n"/>
    </row>
    <row r="37" ht="30" customHeight="1">
      <c r="A37" s="25" t="n">
        <v>46342</v>
      </c>
      <c r="B37" s="26" t="inlineStr">
        <is>
          <t>Mon</t>
        </is>
      </c>
      <c r="C37" s="26" t="n">
        <v>10</v>
      </c>
      <c r="D37" s="26" t="inlineStr">
        <is>
          <t>Q1</t>
        </is>
      </c>
      <c r="E37" s="26" t="inlineStr">
        <is>
          <t>Jonathan Gilat</t>
        </is>
      </c>
      <c r="F37" s="26" t="inlineStr">
        <is>
          <t>#2</t>
        </is>
      </c>
      <c r="G37" s="27" t="inlineStr">
        <is>
          <t>A</t>
        </is>
      </c>
      <c r="H37" s="26" t="inlineStr">
        <is>
          <t>phone</t>
        </is>
      </c>
      <c r="I37" s="28" t="inlineStr">
        <is>
          <t>Node candidate — founded Medida AI. What can they open for our alumni, and would they give office hours?</t>
        </is>
      </c>
      <c r="J37" s="26" t="inlineStr">
        <is>
          <t>+972528198278</t>
        </is>
      </c>
      <c r="K37" s="26" t="inlineStr">
        <is>
          <t>jonathan@medida.ai</t>
        </is>
      </c>
      <c r="L37" s="29" t="n"/>
      <c r="M37" s="29" t="n"/>
    </row>
    <row r="38" ht="30" customHeight="1">
      <c r="A38" s="25" t="n">
        <v>46343</v>
      </c>
      <c r="B38" s="26" t="inlineStr">
        <is>
          <t>Tue</t>
        </is>
      </c>
      <c r="C38" s="26" t="n">
        <v>10</v>
      </c>
      <c r="D38" s="26" t="inlineStr">
        <is>
          <t>Q1</t>
        </is>
      </c>
      <c r="E38" s="26" t="inlineStr">
        <is>
          <t>Eyal Horowicz</t>
        </is>
      </c>
      <c r="F38" s="26" t="inlineStr">
        <is>
          <t>#2</t>
        </is>
      </c>
      <c r="G38" s="30" t="inlineStr">
        <is>
          <t>B</t>
        </is>
      </c>
      <c r="H38" s="26" t="inlineStr">
        <is>
          <t>phone</t>
        </is>
      </c>
      <c r="I38" s="28" t="inlineStr">
        <is>
          <t>What can they give — office hours, referrals into Claroty (DS Team Leader per roster), mentoring? And what do they need from us right now?</t>
        </is>
      </c>
      <c r="J38" s="26" t="inlineStr">
        <is>
          <t>+972506228892</t>
        </is>
      </c>
      <c r="K38" s="26" t="inlineStr">
        <is>
          <t>eyalhoro6@gmail.com</t>
        </is>
      </c>
      <c r="L38" s="29" t="n"/>
      <c r="M38" s="29" t="n"/>
    </row>
    <row r="39" ht="30" customHeight="1">
      <c r="A39" s="25" t="n">
        <v>46344</v>
      </c>
      <c r="B39" s="26" t="inlineStr">
        <is>
          <t>Wed</t>
        </is>
      </c>
      <c r="C39" s="26" t="n">
        <v>10</v>
      </c>
      <c r="D39" s="26" t="inlineStr">
        <is>
          <t>Q1</t>
        </is>
      </c>
      <c r="E39" s="26" t="inlineStr">
        <is>
          <t>Kfir Shoar</t>
        </is>
      </c>
      <c r="F39" s="26" t="inlineStr">
        <is>
          <t>#2</t>
        </is>
      </c>
      <c r="G39" s="31" t="inlineStr">
        <is>
          <t>C</t>
        </is>
      </c>
      <c r="H39" s="26" t="inlineStr">
        <is>
          <t>linkedin</t>
        </is>
      </c>
      <c r="I39" s="28" t="inlineStr">
        <is>
          <t>Stay current — still at Cyera? What are they working on in security, and what would help?</t>
        </is>
      </c>
      <c r="J39" s="26" t="inlineStr"/>
      <c r="K39" s="26" t="inlineStr"/>
      <c r="L39" s="29" t="n"/>
      <c r="M39" s="29" t="n"/>
    </row>
    <row r="40" ht="30" customHeight="1">
      <c r="A40" s="25" t="n">
        <v>46348</v>
      </c>
      <c r="B40" s="26" t="inlineStr">
        <is>
          <t>Sun</t>
        </is>
      </c>
      <c r="C40" s="26" t="n">
        <v>11</v>
      </c>
      <c r="D40" s="26" t="inlineStr">
        <is>
          <t>Q1</t>
        </is>
      </c>
      <c r="E40" s="26" t="inlineStr">
        <is>
          <t>Liran Markin</t>
        </is>
      </c>
      <c r="F40" s="26" t="inlineStr">
        <is>
          <t>#2</t>
        </is>
      </c>
      <c r="G40" s="27" t="inlineStr">
        <is>
          <t>A</t>
        </is>
      </c>
      <c r="H40" s="26" t="inlineStr">
        <is>
          <t>phone</t>
        </is>
      </c>
      <c r="I40" s="28" t="inlineStr">
        <is>
          <t>Node candidate — founded Edwin. What can they open for our alumni, and would they give office hours?</t>
        </is>
      </c>
      <c r="J40" s="26" t="inlineStr">
        <is>
          <t>+972544911254</t>
        </is>
      </c>
      <c r="K40" s="26" t="inlineStr">
        <is>
          <t>liran.markin@gmail.com</t>
        </is>
      </c>
      <c r="L40" s="29" t="n"/>
      <c r="M40" s="29" t="n"/>
    </row>
    <row r="41" ht="30" customHeight="1">
      <c r="A41" s="25" t="n">
        <v>46349</v>
      </c>
      <c r="B41" s="26" t="inlineStr">
        <is>
          <t>Mon</t>
        </is>
      </c>
      <c r="C41" s="26" t="n">
        <v>11</v>
      </c>
      <c r="D41" s="26" t="inlineStr">
        <is>
          <t>Q1</t>
        </is>
      </c>
      <c r="E41" s="26" t="inlineStr">
        <is>
          <t>Michael Komraz</t>
        </is>
      </c>
      <c r="F41" s="26" t="inlineStr">
        <is>
          <t>#2</t>
        </is>
      </c>
      <c r="G41" s="27" t="inlineStr">
        <is>
          <t>A</t>
        </is>
      </c>
      <c r="H41" s="26" t="inlineStr">
        <is>
          <t>phone</t>
        </is>
      </c>
      <c r="I41" s="28" t="inlineStr">
        <is>
          <t>Founding track — building this year? What is the blocker, is co-founder the gap, and who should they meet?</t>
        </is>
      </c>
      <c r="J41" s="26" t="inlineStr">
        <is>
          <t>+972544319975</t>
        </is>
      </c>
      <c r="K41" s="26" t="inlineStr">
        <is>
          <t>mikomraz@gmail.com</t>
        </is>
      </c>
      <c r="L41" s="29" t="n"/>
      <c r="M41" s="29" t="n"/>
    </row>
    <row r="42" ht="30" customHeight="1">
      <c r="A42" s="25" t="n">
        <v>46350</v>
      </c>
      <c r="B42" s="26" t="inlineStr">
        <is>
          <t>Tue</t>
        </is>
      </c>
      <c r="C42" s="26" t="n">
        <v>11</v>
      </c>
      <c r="D42" s="26" t="inlineStr">
        <is>
          <t>Q1</t>
        </is>
      </c>
      <c r="E42" s="26" t="inlineStr">
        <is>
          <t>Gil Raytan</t>
        </is>
      </c>
      <c r="F42" s="26" t="inlineStr">
        <is>
          <t>#2</t>
        </is>
      </c>
      <c r="G42" s="30" t="inlineStr">
        <is>
          <t>B</t>
        </is>
      </c>
      <c r="H42" s="26" t="inlineStr">
        <is>
          <t>phone</t>
        </is>
      </c>
      <c r="I42" s="28" t="inlineStr">
        <is>
          <t>What can they give — office hours, referrals into Remitly (AI/ML), mentoring? And what do they need from us right now?</t>
        </is>
      </c>
      <c r="J42" s="26" t="inlineStr">
        <is>
          <t>+972544322242</t>
        </is>
      </c>
      <c r="K42" s="26" t="inlineStr">
        <is>
          <t>gil.raytan@gmail.com</t>
        </is>
      </c>
      <c r="L42" s="29" t="n"/>
      <c r="M42" s="29" t="n"/>
    </row>
    <row r="43" ht="30" customHeight="1">
      <c r="A43" s="25" t="n">
        <v>46355</v>
      </c>
      <c r="B43" s="26" t="inlineStr">
        <is>
          <t>Sun</t>
        </is>
      </c>
      <c r="C43" s="26" t="n">
        <v>12</v>
      </c>
      <c r="D43" s="26" t="inlineStr">
        <is>
          <t>Q1</t>
        </is>
      </c>
      <c r="E43" s="26" t="inlineStr">
        <is>
          <t>Mor Shemesh</t>
        </is>
      </c>
      <c r="F43" s="26" t="inlineStr">
        <is>
          <t>#2</t>
        </is>
      </c>
      <c r="G43" s="27" t="inlineStr">
        <is>
          <t>A</t>
        </is>
      </c>
      <c r="H43" s="26" t="inlineStr">
        <is>
          <t>phone</t>
        </is>
      </c>
      <c r="I43" s="28" t="inlineStr">
        <is>
          <t>Founding track — building this year? What is the blocker, is co-founder the gap, and who should they meet?</t>
        </is>
      </c>
      <c r="J43" s="26" t="inlineStr">
        <is>
          <t>+972507711998</t>
        </is>
      </c>
      <c r="K43" s="26" t="inlineStr">
        <is>
          <t>mor.m.shemesh@gmail.com</t>
        </is>
      </c>
      <c r="L43" s="29" t="n"/>
      <c r="M43" s="29" t="n"/>
    </row>
    <row r="44" ht="30" customHeight="1">
      <c r="A44" s="25" t="n">
        <v>46356</v>
      </c>
      <c r="B44" s="26" t="inlineStr">
        <is>
          <t>Mon</t>
        </is>
      </c>
      <c r="C44" s="26" t="n">
        <v>12</v>
      </c>
      <c r="D44" s="26" t="inlineStr">
        <is>
          <t>Q1</t>
        </is>
      </c>
      <c r="E44" s="26" t="inlineStr">
        <is>
          <t>Ido Kazma</t>
        </is>
      </c>
      <c r="F44" s="26" t="inlineStr">
        <is>
          <t>#2</t>
        </is>
      </c>
      <c r="G44" s="30" t="inlineStr">
        <is>
          <t>B</t>
        </is>
      </c>
      <c r="H44" s="26" t="inlineStr">
        <is>
          <t>phone</t>
        </is>
      </c>
      <c r="I44" s="28" t="inlineStr">
        <is>
          <t>What can they give — office hours, referrals into Q.ai, mentoring? And what do they need from us right now?</t>
        </is>
      </c>
      <c r="J44" s="26" t="inlineStr">
        <is>
          <t>+972528584131</t>
        </is>
      </c>
      <c r="K44" s="26" t="inlineStr">
        <is>
          <t>idokazma@gmail.com</t>
        </is>
      </c>
      <c r="L44" s="29" t="n"/>
      <c r="M44" s="29" t="n"/>
    </row>
    <row r="45" ht="30" customHeight="1">
      <c r="A45" s="25" t="n">
        <v>46357</v>
      </c>
      <c r="B45" s="26" t="inlineStr">
        <is>
          <t>Tue</t>
        </is>
      </c>
      <c r="C45" s="26" t="n">
        <v>12</v>
      </c>
      <c r="D45" s="26" t="inlineStr">
        <is>
          <t>Q2</t>
        </is>
      </c>
      <c r="E45" s="26" t="inlineStr">
        <is>
          <t>Ilan Voronel</t>
        </is>
      </c>
      <c r="F45" s="26" t="inlineStr">
        <is>
          <t>#2</t>
        </is>
      </c>
      <c r="G45" s="30" t="inlineStr">
        <is>
          <t>B</t>
        </is>
      </c>
      <c r="H45" s="26" t="inlineStr">
        <is>
          <t>phone</t>
        </is>
      </c>
      <c r="I45" s="28" t="inlineStr">
        <is>
          <t>What can they give — office hours, referrals into Glassbox, mentoring? And what do they need from us right now?</t>
        </is>
      </c>
      <c r="J45" s="26" t="inlineStr">
        <is>
          <t>+972547397052</t>
        </is>
      </c>
      <c r="K45" s="26" t="inlineStr">
        <is>
          <t>ilan.voronel@gmail.com</t>
        </is>
      </c>
      <c r="L45" s="29" t="n"/>
      <c r="M45" s="29" t="n"/>
    </row>
    <row r="46" ht="30" customHeight="1">
      <c r="A46" s="25" t="n">
        <v>46358</v>
      </c>
      <c r="B46" s="26" t="inlineStr">
        <is>
          <t>Wed</t>
        </is>
      </c>
      <c r="C46" s="26" t="n">
        <v>12</v>
      </c>
      <c r="D46" s="26" t="inlineStr">
        <is>
          <t>Q2</t>
        </is>
      </c>
      <c r="E46" s="26" t="inlineStr">
        <is>
          <t>Lior Lev Tov</t>
        </is>
      </c>
      <c r="F46" s="26" t="inlineStr">
        <is>
          <t>#2</t>
        </is>
      </c>
      <c r="G46" s="31" t="inlineStr">
        <is>
          <t>C</t>
        </is>
      </c>
      <c r="H46" s="26" t="inlineStr">
        <is>
          <t>phone</t>
        </is>
      </c>
      <c r="I46" s="28" t="inlineStr">
        <is>
          <t>Stay current — still at Eon.io? What are they working on in infra-systems, and what would help?</t>
        </is>
      </c>
      <c r="J46" s="26" t="inlineStr">
        <is>
          <t>+972542267010</t>
        </is>
      </c>
      <c r="K46" s="26" t="inlineStr">
        <is>
          <t>liorlevtov@gmail.com</t>
        </is>
      </c>
      <c r="L46" s="29" t="n"/>
      <c r="M46" s="29" t="n"/>
    </row>
    <row r="47" ht="30" customHeight="1">
      <c r="A47" s="25" t="n">
        <v>46362</v>
      </c>
      <c r="B47" s="26" t="inlineStr">
        <is>
          <t>Sun</t>
        </is>
      </c>
      <c r="C47" s="26" t="n">
        <v>13</v>
      </c>
      <c r="D47" s="26" t="inlineStr">
        <is>
          <t>Q2</t>
        </is>
      </c>
      <c r="E47" s="26" t="inlineStr">
        <is>
          <t>Roy Moshe</t>
        </is>
      </c>
      <c r="F47" s="26" t="inlineStr">
        <is>
          <t>#2</t>
        </is>
      </c>
      <c r="G47" s="27" t="inlineStr">
        <is>
          <t>A</t>
        </is>
      </c>
      <c r="H47" s="26" t="inlineStr">
        <is>
          <t>phone</t>
        </is>
      </c>
      <c r="I47" s="28" t="inlineStr">
        <is>
          <t>Founding track — building this year? What is the blocker, is co-founder the gap, and who should they meet?</t>
        </is>
      </c>
      <c r="J47" s="26" t="inlineStr">
        <is>
          <t>+972546777815</t>
        </is>
      </c>
      <c r="K47" s="26" t="inlineStr">
        <is>
          <t>roymoshe23@gmail.com</t>
        </is>
      </c>
      <c r="L47" s="29" t="n"/>
      <c r="M47" s="29" t="n"/>
    </row>
    <row r="48" ht="30" customHeight="1">
      <c r="A48" s="25" t="n">
        <v>46363</v>
      </c>
      <c r="B48" s="26" t="inlineStr">
        <is>
          <t>Mon</t>
        </is>
      </c>
      <c r="C48" s="26" t="n">
        <v>13</v>
      </c>
      <c r="D48" s="26" t="inlineStr">
        <is>
          <t>Q2</t>
        </is>
      </c>
      <c r="E48" s="26" t="inlineStr">
        <is>
          <t>Tomer Goren</t>
        </is>
      </c>
      <c r="F48" s="26" t="inlineStr">
        <is>
          <t>#2</t>
        </is>
      </c>
      <c r="G48" s="27" t="inlineStr">
        <is>
          <t>A</t>
        </is>
      </c>
      <c r="H48" s="26" t="inlineStr">
        <is>
          <t>phone</t>
        </is>
      </c>
      <c r="I48" s="28" t="inlineStr">
        <is>
          <t>Founding track — building this year? What is the blocker, is co-founder the gap, and who should they meet?</t>
        </is>
      </c>
      <c r="J48" s="26" t="inlineStr">
        <is>
          <t>+972544744575</t>
        </is>
      </c>
      <c r="K48" s="26" t="inlineStr">
        <is>
          <t>tomergoren99@gmail.com</t>
        </is>
      </c>
      <c r="L48" s="29" t="n"/>
      <c r="M48" s="29" t="n"/>
    </row>
    <row r="49" ht="30" customHeight="1">
      <c r="A49" s="25" t="n">
        <v>46364</v>
      </c>
      <c r="B49" s="26" t="inlineStr">
        <is>
          <t>Tue</t>
        </is>
      </c>
      <c r="C49" s="26" t="n">
        <v>13</v>
      </c>
      <c r="D49" s="26" t="inlineStr">
        <is>
          <t>Q2</t>
        </is>
      </c>
      <c r="E49" s="26" t="inlineStr">
        <is>
          <t>Michael Zuzovski</t>
        </is>
      </c>
      <c r="F49" s="26" t="inlineStr">
        <is>
          <t>#2</t>
        </is>
      </c>
      <c r="G49" s="30" t="inlineStr">
        <is>
          <t>B</t>
        </is>
      </c>
      <c r="H49" s="26" t="inlineStr">
        <is>
          <t>phone</t>
        </is>
      </c>
      <c r="I49" s="28" t="inlineStr">
        <is>
          <t>What can they give — office hours, referrals into TAU (ex-Amazon), mentoring? And what do they need from us right now?</t>
        </is>
      </c>
      <c r="J49" s="26" t="inlineStr">
        <is>
          <t>+972527564010</t>
        </is>
      </c>
      <c r="K49" s="26" t="inlineStr">
        <is>
          <t>giga123@gmail.com</t>
        </is>
      </c>
      <c r="L49" s="29" t="n"/>
      <c r="M49" s="29" t="n"/>
    </row>
    <row r="50" ht="30" customHeight="1">
      <c r="A50" s="25" t="n">
        <v>46365</v>
      </c>
      <c r="B50" s="26" t="inlineStr">
        <is>
          <t>Wed</t>
        </is>
      </c>
      <c r="C50" s="26" t="n">
        <v>13</v>
      </c>
      <c r="D50" s="26" t="inlineStr">
        <is>
          <t>Q2</t>
        </is>
      </c>
      <c r="E50" s="26" t="inlineStr">
        <is>
          <t>Michal Ran Shchory</t>
        </is>
      </c>
      <c r="F50" s="26" t="inlineStr">
        <is>
          <t>#2</t>
        </is>
      </c>
      <c r="G50" s="31" t="inlineStr">
        <is>
          <t>C</t>
        </is>
      </c>
      <c r="H50" s="26" t="inlineStr">
        <is>
          <t>phone</t>
        </is>
      </c>
      <c r="I50" s="28" t="inlineStr">
        <is>
          <t>Stay current — still at Protai? What are they working on in ai-ml, and what would help?</t>
        </is>
      </c>
      <c r="J50" s="26" t="inlineStr">
        <is>
          <t>+972544443440</t>
        </is>
      </c>
      <c r="K50" s="26" t="inlineStr">
        <is>
          <t>michalran95@gmail.com</t>
        </is>
      </c>
      <c r="L50" s="29" t="n"/>
      <c r="M50" s="29" t="n"/>
    </row>
    <row r="51" ht="30" customHeight="1">
      <c r="A51" s="25" t="n">
        <v>46369</v>
      </c>
      <c r="B51" s="26" t="inlineStr">
        <is>
          <t>Sun</t>
        </is>
      </c>
      <c r="C51" s="26" t="n">
        <v>14</v>
      </c>
      <c r="D51" s="26" t="inlineStr">
        <is>
          <t>Q2</t>
        </is>
      </c>
      <c r="E51" s="26" t="inlineStr">
        <is>
          <t>Omer Onn</t>
        </is>
      </c>
      <c r="F51" s="26" t="inlineStr">
        <is>
          <t>#2</t>
        </is>
      </c>
      <c r="G51" s="30" t="inlineStr">
        <is>
          <t>B</t>
        </is>
      </c>
      <c r="H51" s="26" t="inlineStr">
        <is>
          <t>phone</t>
        </is>
      </c>
      <c r="I51" s="28" t="inlineStr">
        <is>
          <t>What can they give — office hours, referrals into Akeyless (ex-System Architect, DriveNets), mentoring? And what do they need from us right now?</t>
        </is>
      </c>
      <c r="J51" s="26" t="inlineStr">
        <is>
          <t>+972508112332</t>
        </is>
      </c>
      <c r="K51" s="26" t="inlineStr">
        <is>
          <t>omeronn@gmail.com</t>
        </is>
      </c>
      <c r="L51" s="29" t="n"/>
      <c r="M51" s="29" t="n"/>
    </row>
    <row r="52" ht="30" customHeight="1">
      <c r="A52" s="25" t="n">
        <v>46370</v>
      </c>
      <c r="B52" s="26" t="inlineStr">
        <is>
          <t>Mon</t>
        </is>
      </c>
      <c r="C52" s="26" t="n">
        <v>14</v>
      </c>
      <c r="D52" s="26" t="inlineStr">
        <is>
          <t>Q2</t>
        </is>
      </c>
      <c r="E52" s="26" t="inlineStr">
        <is>
          <t>Omri Gotlib</t>
        </is>
      </c>
      <c r="F52" s="26" t="inlineStr">
        <is>
          <t>#2</t>
        </is>
      </c>
      <c r="G52" s="30" t="inlineStr">
        <is>
          <t>B</t>
        </is>
      </c>
      <c r="H52" s="26" t="inlineStr">
        <is>
          <t>phone</t>
        </is>
      </c>
      <c r="I52" s="28" t="inlineStr">
        <is>
          <t>What can they give — office hours, referrals, mentoring? And what do they need from us right now?</t>
        </is>
      </c>
      <c r="J52" s="26" t="inlineStr">
        <is>
          <t>+972528225572</t>
        </is>
      </c>
      <c r="K52" s="26" t="inlineStr">
        <is>
          <t>gotlib.omri@gmail.com</t>
        </is>
      </c>
      <c r="L52" s="29" t="n"/>
      <c r="M52" s="29" t="n"/>
    </row>
    <row r="53" ht="30" customHeight="1">
      <c r="A53" s="25" t="n">
        <v>46371</v>
      </c>
      <c r="B53" s="26" t="inlineStr">
        <is>
          <t>Tue</t>
        </is>
      </c>
      <c r="C53" s="26" t="n">
        <v>14</v>
      </c>
      <c r="D53" s="26" t="inlineStr">
        <is>
          <t>Q2</t>
        </is>
      </c>
      <c r="E53" s="26" t="inlineStr">
        <is>
          <t>Benny Getz</t>
        </is>
      </c>
      <c r="F53" s="26" t="inlineStr">
        <is>
          <t>#3</t>
        </is>
      </c>
      <c r="G53" s="27" t="inlineStr">
        <is>
          <t>A</t>
        </is>
      </c>
      <c r="H53" s="26" t="inlineStr">
        <is>
          <t>phone</t>
        </is>
      </c>
      <c r="I53" s="28" t="inlineStr">
        <is>
          <t>Node candidate — founded Predicta Med. What can they open for our alumni, and would they give office hours?</t>
        </is>
      </c>
      <c r="J53" s="26" t="inlineStr">
        <is>
          <t>+972545551000</t>
        </is>
      </c>
      <c r="K53" s="26" t="inlineStr">
        <is>
          <t>benny.getz@gmail.com</t>
        </is>
      </c>
      <c r="L53" s="29" t="n"/>
      <c r="M53" s="29" t="n"/>
    </row>
    <row r="54" ht="30" customHeight="1">
      <c r="A54" s="25" t="n">
        <v>46372</v>
      </c>
      <c r="B54" s="26" t="inlineStr">
        <is>
          <t>Wed</t>
        </is>
      </c>
      <c r="C54" s="26" t="n">
        <v>14</v>
      </c>
      <c r="D54" s="26" t="inlineStr">
        <is>
          <t>Q2</t>
        </is>
      </c>
      <c r="E54" s="26" t="inlineStr">
        <is>
          <t>Dolev Elbaz</t>
        </is>
      </c>
      <c r="F54" s="26" t="inlineStr">
        <is>
          <t>#3</t>
        </is>
      </c>
      <c r="G54" s="27" t="inlineStr">
        <is>
          <t>A</t>
        </is>
      </c>
      <c r="H54" s="26" t="inlineStr">
        <is>
          <t>phone</t>
        </is>
      </c>
      <c r="I54" s="28" t="inlineStr">
        <is>
          <t>Node candidate — founded Breeze Security. What can they open for our alumni, and would they give office hours?</t>
        </is>
      </c>
      <c r="J54" s="26" t="inlineStr">
        <is>
          <t>+972525677675</t>
        </is>
      </c>
      <c r="K54" s="26" t="inlineStr">
        <is>
          <t>dolevelb@gmail.com</t>
        </is>
      </c>
      <c r="L54" s="29" t="n"/>
      <c r="M54" s="29" t="n"/>
    </row>
    <row r="55" ht="30" customHeight="1">
      <c r="A55" s="25" t="n">
        <v>46376</v>
      </c>
      <c r="B55" s="26" t="inlineStr">
        <is>
          <t>Sun</t>
        </is>
      </c>
      <c r="C55" s="26" t="n">
        <v>15</v>
      </c>
      <c r="D55" s="26" t="inlineStr">
        <is>
          <t>Q2</t>
        </is>
      </c>
      <c r="E55" s="26" t="inlineStr">
        <is>
          <t>Ron Galay</t>
        </is>
      </c>
      <c r="F55" s="26" t="inlineStr">
        <is>
          <t>#2</t>
        </is>
      </c>
      <c r="G55" s="30" t="inlineStr">
        <is>
          <t>B</t>
        </is>
      </c>
      <c r="H55" s="26" t="inlineStr">
        <is>
          <t>phone</t>
        </is>
      </c>
      <c r="I55" s="28" t="inlineStr">
        <is>
          <t>What can they give — office hours, referrals into Datadog, mentoring? And what do they need from us right now?</t>
        </is>
      </c>
      <c r="J55" s="26" t="inlineStr">
        <is>
          <t>+972503039885</t>
        </is>
      </c>
      <c r="K55" s="26" t="inlineStr">
        <is>
          <t>rongalay@gmail.com</t>
        </is>
      </c>
      <c r="L55" s="29" t="n"/>
      <c r="M55" s="29" t="n"/>
    </row>
    <row r="56" ht="30" customHeight="1">
      <c r="A56" s="25" t="n">
        <v>46377</v>
      </c>
      <c r="B56" s="26" t="inlineStr">
        <is>
          <t>Mon</t>
        </is>
      </c>
      <c r="C56" s="26" t="n">
        <v>15</v>
      </c>
      <c r="D56" s="26" t="inlineStr">
        <is>
          <t>Q2</t>
        </is>
      </c>
      <c r="E56" s="26" t="inlineStr">
        <is>
          <t>Peleg Ben Hamo</t>
        </is>
      </c>
      <c r="F56" s="26" t="inlineStr">
        <is>
          <t>#2</t>
        </is>
      </c>
      <c r="G56" s="31" t="inlineStr">
        <is>
          <t>C</t>
        </is>
      </c>
      <c r="H56" s="26" t="inlineStr">
        <is>
          <t>phone</t>
        </is>
      </c>
      <c r="I56" s="28" t="inlineStr">
        <is>
          <t>Stay current — still at Cyera? What are they working on in security, and what would help?</t>
        </is>
      </c>
      <c r="J56" s="26" t="inlineStr">
        <is>
          <t>+972524447878</t>
        </is>
      </c>
      <c r="K56" s="26" t="inlineStr">
        <is>
          <t>peleg87@gmail.com</t>
        </is>
      </c>
      <c r="L56" s="29" t="n"/>
      <c r="M56" s="29" t="n"/>
    </row>
    <row r="57" ht="30" customHeight="1">
      <c r="A57" s="25" t="n">
        <v>46378</v>
      </c>
      <c r="B57" s="26" t="inlineStr">
        <is>
          <t>Tue</t>
        </is>
      </c>
      <c r="C57" s="26" t="n">
        <v>15</v>
      </c>
      <c r="D57" s="26" t="inlineStr">
        <is>
          <t>Q2</t>
        </is>
      </c>
      <c r="E57" s="26" t="inlineStr">
        <is>
          <t>Nadav Claude Cohen</t>
        </is>
      </c>
      <c r="F57" s="26" t="inlineStr">
        <is>
          <t>#3</t>
        </is>
      </c>
      <c r="G57" s="27" t="inlineStr">
        <is>
          <t>A</t>
        </is>
      </c>
      <c r="H57" s="26" t="inlineStr">
        <is>
          <t>phone</t>
        </is>
      </c>
      <c r="I57" s="28" t="inlineStr">
        <is>
          <t>Founding track — building this year? What is the blocker, is co-founder the gap, and who should they meet?</t>
        </is>
      </c>
      <c r="J57" s="26" t="inlineStr">
        <is>
          <t>+972543134989</t>
        </is>
      </c>
      <c r="K57" s="26" t="inlineStr">
        <is>
          <t>nadav.claude.cohen@gmail.com</t>
        </is>
      </c>
      <c r="L57" s="29" t="n"/>
      <c r="M57" s="29" t="n"/>
    </row>
    <row r="58" ht="30" customHeight="1">
      <c r="A58" s="25" t="n">
        <v>46383</v>
      </c>
      <c r="B58" s="26" t="inlineStr">
        <is>
          <t>Sun</t>
        </is>
      </c>
      <c r="C58" s="26" t="n">
        <v>16</v>
      </c>
      <c r="D58" s="26" t="inlineStr">
        <is>
          <t>Q2</t>
        </is>
      </c>
      <c r="E58" s="26" t="inlineStr">
        <is>
          <t>Shaked Yehezkel</t>
        </is>
      </c>
      <c r="F58" s="26" t="inlineStr">
        <is>
          <t>#2</t>
        </is>
      </c>
      <c r="G58" s="30" t="inlineStr">
        <is>
          <t>B</t>
        </is>
      </c>
      <c r="H58" s="26" t="inlineStr">
        <is>
          <t>linkedin</t>
        </is>
      </c>
      <c r="I58" s="28" t="inlineStr">
        <is>
          <t>What can they give — office hours, referrals into TAU, mentoring? And what do they need from us right now?</t>
        </is>
      </c>
      <c r="J58" s="26" t="inlineStr"/>
      <c r="K58" s="26" t="inlineStr"/>
      <c r="L58" s="29" t="n"/>
      <c r="M58" s="29" t="n"/>
    </row>
    <row r="59" ht="30" customHeight="1">
      <c r="A59" s="25" t="n">
        <v>46384</v>
      </c>
      <c r="B59" s="26" t="inlineStr">
        <is>
          <t>Mon</t>
        </is>
      </c>
      <c r="C59" s="26" t="n">
        <v>16</v>
      </c>
      <c r="D59" s="26" t="inlineStr">
        <is>
          <t>Q2</t>
        </is>
      </c>
      <c r="E59" s="26" t="inlineStr">
        <is>
          <t>Sharon Brizinov</t>
        </is>
      </c>
      <c r="F59" s="26" t="inlineStr">
        <is>
          <t>#2</t>
        </is>
      </c>
      <c r="G59" s="30" t="inlineStr">
        <is>
          <t>B</t>
        </is>
      </c>
      <c r="H59" s="26" t="inlineStr">
        <is>
          <t>phone</t>
        </is>
      </c>
      <c r="I59" s="28" t="inlineStr">
        <is>
          <t>What can they give — office hours, referrals, mentoring? And what do they need from us right now?</t>
        </is>
      </c>
      <c r="J59" s="26" t="inlineStr">
        <is>
          <t>+972544702148</t>
        </is>
      </c>
      <c r="K59" s="26" t="inlineStr">
        <is>
          <t>sharon.brizinov@gmail.com</t>
        </is>
      </c>
      <c r="L59" s="29" t="n"/>
      <c r="M59" s="29" t="n"/>
    </row>
    <row r="60" ht="30" customHeight="1">
      <c r="A60" s="25" t="n">
        <v>46385</v>
      </c>
      <c r="B60" s="26" t="inlineStr">
        <is>
          <t>Tue</t>
        </is>
      </c>
      <c r="C60" s="26" t="n">
        <v>16</v>
      </c>
      <c r="D60" s="26" t="inlineStr">
        <is>
          <t>Q2</t>
        </is>
      </c>
      <c r="E60" s="26" t="inlineStr">
        <is>
          <t>Oren Fine</t>
        </is>
      </c>
      <c r="F60" s="26" t="inlineStr">
        <is>
          <t>#3</t>
        </is>
      </c>
      <c r="G60" s="27" t="inlineStr">
        <is>
          <t>A</t>
        </is>
      </c>
      <c r="H60" s="26" t="inlineStr">
        <is>
          <t>phone</t>
        </is>
      </c>
      <c r="I60" s="28" t="inlineStr">
        <is>
          <t>Founding track — building this year? What is the blocker, is co-founder the gap, and who should they meet?</t>
        </is>
      </c>
      <c r="J60" s="26" t="inlineStr">
        <is>
          <t>+972586392129</t>
        </is>
      </c>
      <c r="K60" s="26" t="inlineStr">
        <is>
          <t>orenfine@gmail.com</t>
        </is>
      </c>
      <c r="L60" s="29" t="n"/>
      <c r="M60" s="29" t="n"/>
    </row>
    <row r="61" ht="30" customHeight="1">
      <c r="A61" s="25" t="n">
        <v>46386</v>
      </c>
      <c r="B61" s="26" t="inlineStr">
        <is>
          <t>Wed</t>
        </is>
      </c>
      <c r="C61" s="26" t="n">
        <v>16</v>
      </c>
      <c r="D61" s="26" t="inlineStr">
        <is>
          <t>Q2</t>
        </is>
      </c>
      <c r="E61" s="26" t="inlineStr">
        <is>
          <t>Shlomo Lahav</t>
        </is>
      </c>
      <c r="F61" s="26" t="inlineStr">
        <is>
          <t>#3</t>
        </is>
      </c>
      <c r="G61" s="27" t="inlineStr">
        <is>
          <t>A</t>
        </is>
      </c>
      <c r="H61" s="26" t="inlineStr">
        <is>
          <t>phone</t>
        </is>
      </c>
      <c r="I61" s="28" t="inlineStr">
        <is>
          <t>Node candidate — founded TrueNorth Systems. What can they open for our alumni, and would they give office hours?</t>
        </is>
      </c>
      <c r="J61" s="26" t="inlineStr">
        <is>
          <t>+972545330111</t>
        </is>
      </c>
      <c r="K61" s="26" t="inlineStr">
        <is>
          <t>shlomo@lahavs.com</t>
        </is>
      </c>
      <c r="L61" s="29" t="n"/>
      <c r="M61" s="29" t="n"/>
    </row>
    <row r="62" ht="30" customHeight="1">
      <c r="A62" s="25" t="n">
        <v>46390</v>
      </c>
      <c r="B62" s="26" t="inlineStr">
        <is>
          <t>Sun</t>
        </is>
      </c>
      <c r="C62" s="26" t="n">
        <v>17</v>
      </c>
      <c r="D62" s="26" t="inlineStr">
        <is>
          <t>Q2</t>
        </is>
      </c>
      <c r="E62" s="26" t="inlineStr">
        <is>
          <t>Tzah Pahima</t>
        </is>
      </c>
      <c r="F62" s="26" t="inlineStr">
        <is>
          <t>#2</t>
        </is>
      </c>
      <c r="G62" s="30" t="inlineStr">
        <is>
          <t>B</t>
        </is>
      </c>
      <c r="H62" s="26" t="inlineStr">
        <is>
          <t>phone</t>
        </is>
      </c>
      <c r="I62" s="28" t="inlineStr">
        <is>
          <t>What can they give — office hours, referrals into Orca Security, mentoring? And what do they need from us right now?</t>
        </is>
      </c>
      <c r="J62" s="26" t="inlineStr">
        <is>
          <t>+972538271198</t>
        </is>
      </c>
      <c r="K62" s="26" t="inlineStr">
        <is>
          <t>tzahpahima123@gmail.com</t>
        </is>
      </c>
      <c r="L62" s="29" t="n"/>
      <c r="M62" s="29" t="n"/>
    </row>
    <row r="63" ht="30" customHeight="1">
      <c r="A63" s="25" t="n">
        <v>46391</v>
      </c>
      <c r="B63" s="26" t="inlineStr">
        <is>
          <t>Mon</t>
        </is>
      </c>
      <c r="C63" s="26" t="n">
        <v>17</v>
      </c>
      <c r="D63" s="26" t="inlineStr">
        <is>
          <t>Q2</t>
        </is>
      </c>
      <c r="E63" s="26" t="inlineStr">
        <is>
          <t>Yakov Kosoburd</t>
        </is>
      </c>
      <c r="F63" s="26" t="inlineStr">
        <is>
          <t>#2</t>
        </is>
      </c>
      <c r="G63" s="30" t="inlineStr">
        <is>
          <t>B</t>
        </is>
      </c>
      <c r="H63" s="26" t="inlineStr">
        <is>
          <t>phone</t>
        </is>
      </c>
      <c r="I63" s="28" t="inlineStr">
        <is>
          <t>What can they give — office hours, referrals, mentoring? And what do they need from us right now?</t>
        </is>
      </c>
      <c r="J63" s="26" t="inlineStr">
        <is>
          <t>+972529508555</t>
        </is>
      </c>
      <c r="K63" s="26" t="inlineStr">
        <is>
          <t>yakov.kosoburd@gmail.com</t>
        </is>
      </c>
      <c r="L63" s="29" t="n"/>
      <c r="M63" s="29" t="n"/>
    </row>
    <row r="64" ht="30" customHeight="1">
      <c r="A64" s="25" t="n">
        <v>46392</v>
      </c>
      <c r="B64" s="26" t="inlineStr">
        <is>
          <t>Tue</t>
        </is>
      </c>
      <c r="C64" s="26" t="n">
        <v>17</v>
      </c>
      <c r="D64" s="26" t="inlineStr">
        <is>
          <t>Q2</t>
        </is>
      </c>
      <c r="E64" s="26" t="inlineStr">
        <is>
          <t>Shachar Resisi</t>
        </is>
      </c>
      <c r="F64" s="26" t="inlineStr">
        <is>
          <t>#2</t>
        </is>
      </c>
      <c r="G64" s="31" t="inlineStr">
        <is>
          <t>C</t>
        </is>
      </c>
      <c r="H64" s="26" t="inlineStr">
        <is>
          <t>phone</t>
        </is>
      </c>
      <c r="I64" s="28" t="inlineStr">
        <is>
          <t>Stay current — still at Vayyar Imaging? What are they working on in ai-ml, and what would help?</t>
        </is>
      </c>
      <c r="J64" s="26" t="inlineStr">
        <is>
          <t>+972542566787</t>
        </is>
      </c>
      <c r="K64" s="26" t="inlineStr">
        <is>
          <t>shachar.resisi@gmail.com</t>
        </is>
      </c>
      <c r="L64" s="29" t="n"/>
      <c r="M64" s="29" t="n"/>
    </row>
    <row r="65" ht="30" customHeight="1">
      <c r="A65" s="25" t="n">
        <v>46393</v>
      </c>
      <c r="B65" s="26" t="inlineStr">
        <is>
          <t>Wed</t>
        </is>
      </c>
      <c r="C65" s="26" t="n">
        <v>17</v>
      </c>
      <c r="D65" s="26" t="inlineStr">
        <is>
          <t>Q2</t>
        </is>
      </c>
      <c r="E65" s="26" t="inlineStr">
        <is>
          <t>Yaniv Shaked</t>
        </is>
      </c>
      <c r="F65" s="26" t="inlineStr">
        <is>
          <t>#3</t>
        </is>
      </c>
      <c r="G65" s="27" t="inlineStr">
        <is>
          <t>A</t>
        </is>
      </c>
      <c r="H65" s="26" t="inlineStr">
        <is>
          <t>phone</t>
        </is>
      </c>
      <c r="I65" s="28" t="inlineStr">
        <is>
          <t>Founding track — building this year? What is the blocker, is co-founder the gap, and who should they meet?</t>
        </is>
      </c>
      <c r="J65" s="26" t="inlineStr">
        <is>
          <t>+972525621097</t>
        </is>
      </c>
      <c r="K65" s="26" t="inlineStr">
        <is>
          <t>yanivsh002@gmail.com</t>
        </is>
      </c>
      <c r="L65" s="29" t="n"/>
      <c r="M65" s="29" t="n"/>
    </row>
    <row r="66" ht="30" customHeight="1">
      <c r="A66" s="25" t="n">
        <v>46397</v>
      </c>
      <c r="B66" s="26" t="inlineStr">
        <is>
          <t>Sun</t>
        </is>
      </c>
      <c r="C66" s="26" t="n">
        <v>18</v>
      </c>
      <c r="D66" s="26" t="inlineStr">
        <is>
          <t>Q2</t>
        </is>
      </c>
      <c r="E66" s="26" t="inlineStr">
        <is>
          <t>Assaf Monsa</t>
        </is>
      </c>
      <c r="F66" s="26" t="inlineStr">
        <is>
          <t>#1</t>
        </is>
      </c>
      <c r="G66" s="27" t="inlineStr">
        <is>
          <t>A</t>
        </is>
      </c>
      <c r="H66" s="26" t="inlineStr">
        <is>
          <t>phone</t>
        </is>
      </c>
      <c r="I66" s="28" t="inlineStr">
        <is>
          <t>Node candidate. What can they open for our alumni, and would they give office hours?</t>
        </is>
      </c>
      <c r="J66" s="26" t="inlineStr">
        <is>
          <t>+972544319991</t>
        </is>
      </c>
      <c r="K66" s="26" t="inlineStr">
        <is>
          <t>assafmonsa@gmail.com</t>
        </is>
      </c>
      <c r="L66" s="29" t="n"/>
      <c r="M66" s="29" t="n"/>
    </row>
    <row r="67" ht="30" customHeight="1">
      <c r="A67" s="25" t="n">
        <v>46398</v>
      </c>
      <c r="B67" s="26" t="inlineStr">
        <is>
          <t>Mon</t>
        </is>
      </c>
      <c r="C67" s="26" t="n">
        <v>18</v>
      </c>
      <c r="D67" s="26" t="inlineStr">
        <is>
          <t>Q2</t>
        </is>
      </c>
      <c r="E67" s="26" t="inlineStr">
        <is>
          <t>Danny Grander</t>
        </is>
      </c>
      <c r="F67" s="26" t="inlineStr">
        <is>
          <t>#1</t>
        </is>
      </c>
      <c r="G67" s="27" t="inlineStr">
        <is>
          <t>A</t>
        </is>
      </c>
      <c r="H67" s="26" t="inlineStr">
        <is>
          <t>phone</t>
        </is>
      </c>
      <c r="I67" s="28" t="inlineStr">
        <is>
          <t>Node candidate — founded Snyk. What can they open for our alumni, and would they give office hours?</t>
        </is>
      </c>
      <c r="J67" s="26" t="inlineStr">
        <is>
          <t>+972507616594</t>
        </is>
      </c>
      <c r="K67" s="26" t="inlineStr">
        <is>
          <t>danny.grander@gmail.com</t>
        </is>
      </c>
      <c r="L67" s="29" t="n"/>
      <c r="M67" s="29" t="n"/>
    </row>
    <row r="68" ht="30" customHeight="1">
      <c r="A68" s="25" t="n">
        <v>46399</v>
      </c>
      <c r="B68" s="26" t="inlineStr">
        <is>
          <t>Tue</t>
        </is>
      </c>
      <c r="C68" s="26" t="n">
        <v>18</v>
      </c>
      <c r="D68" s="26" t="inlineStr">
        <is>
          <t>Q2</t>
        </is>
      </c>
      <c r="E68" s="26" t="inlineStr">
        <is>
          <t>Yuri Shapira</t>
        </is>
      </c>
      <c r="F68" s="26" t="inlineStr">
        <is>
          <t>#2</t>
        </is>
      </c>
      <c r="G68" s="30" t="inlineStr">
        <is>
          <t>B</t>
        </is>
      </c>
      <c r="H68" s="26" t="inlineStr">
        <is>
          <t>phone</t>
        </is>
      </c>
      <c r="I68" s="28" t="inlineStr">
        <is>
          <t>What can they give — office hours, referrals into PureSec (Architect @ PAN per roster), mentoring? And what do they need from us right now?</t>
        </is>
      </c>
      <c r="J68" s="26" t="inlineStr">
        <is>
          <t>+972547225688</t>
        </is>
      </c>
      <c r="K68" s="26" t="inlineStr">
        <is>
          <t>yurishapira@gmail.com</t>
        </is>
      </c>
      <c r="L68" s="29" t="n"/>
      <c r="M68" s="29" t="n"/>
    </row>
    <row r="69" ht="30" customHeight="1">
      <c r="A69" s="25" t="n">
        <v>46400</v>
      </c>
      <c r="B69" s="26" t="inlineStr">
        <is>
          <t>Wed</t>
        </is>
      </c>
      <c r="C69" s="26" t="n">
        <v>18</v>
      </c>
      <c r="D69" s="26" t="inlineStr">
        <is>
          <t>Q2</t>
        </is>
      </c>
      <c r="E69" s="26" t="inlineStr">
        <is>
          <t>Adi Cohen</t>
        </is>
      </c>
      <c r="F69" s="26" t="inlineStr">
        <is>
          <t>#3</t>
        </is>
      </c>
      <c r="G69" s="31" t="inlineStr">
        <is>
          <t>C</t>
        </is>
      </c>
      <c r="H69" s="26" t="inlineStr">
        <is>
          <t>phone</t>
        </is>
      </c>
      <c r="I69" s="28" t="inlineStr">
        <is>
          <t>Roll-up — no verified role on file. What are they doing now, where are they heading, and what do they need?</t>
        </is>
      </c>
      <c r="J69" s="26" t="inlineStr">
        <is>
          <t>+972543990302</t>
        </is>
      </c>
      <c r="K69" s="26" t="inlineStr">
        <is>
          <t>cohenadi02@gmail.com</t>
        </is>
      </c>
      <c r="L69" s="29" t="n"/>
      <c r="M69" s="29" t="n"/>
    </row>
    <row r="70" ht="30" customHeight="1">
      <c r="A70" s="25" t="n">
        <v>46404</v>
      </c>
      <c r="B70" s="26" t="inlineStr">
        <is>
          <t>Sun</t>
        </is>
      </c>
      <c r="C70" s="26" t="n">
        <v>19</v>
      </c>
      <c r="D70" s="26" t="inlineStr">
        <is>
          <t>Q2</t>
        </is>
      </c>
      <c r="E70" s="26" t="inlineStr">
        <is>
          <t>Eyal Kraft</t>
        </is>
      </c>
      <c r="F70" s="26" t="inlineStr">
        <is>
          <t>#1</t>
        </is>
      </c>
      <c r="G70" s="27" t="inlineStr">
        <is>
          <t>A</t>
        </is>
      </c>
      <c r="H70" s="26" t="inlineStr">
        <is>
          <t>linkedin</t>
        </is>
      </c>
      <c r="I70" s="28" t="inlineStr">
        <is>
          <t>Founding track — building this year? What is the blocker, is co-founder the gap, and who should they meet?</t>
        </is>
      </c>
      <c r="J70" s="26" t="inlineStr"/>
      <c r="K70" s="26" t="inlineStr"/>
      <c r="L70" s="29" t="n"/>
      <c r="M70" s="29" t="n"/>
    </row>
    <row r="71" ht="30" customHeight="1">
      <c r="A71" s="25" t="n">
        <v>46405</v>
      </c>
      <c r="B71" s="26" t="inlineStr">
        <is>
          <t>Mon</t>
        </is>
      </c>
      <c r="C71" s="26" t="n">
        <v>19</v>
      </c>
      <c r="D71" s="26" t="inlineStr">
        <is>
          <t>Q2</t>
        </is>
      </c>
      <c r="E71" s="26" t="inlineStr">
        <is>
          <t>Inbal Beracha</t>
        </is>
      </c>
      <c r="F71" s="26" t="inlineStr">
        <is>
          <t>#1</t>
        </is>
      </c>
      <c r="G71" s="27" t="inlineStr">
        <is>
          <t>A</t>
        </is>
      </c>
      <c r="H71" s="26" t="inlineStr">
        <is>
          <t>linkedin</t>
        </is>
      </c>
      <c r="I71" s="28" t="inlineStr">
        <is>
          <t>Founding track — building this year? What is the blocker, is co-founder the gap, and who should they meet?</t>
        </is>
      </c>
      <c r="J71" s="26" t="inlineStr"/>
      <c r="K71" s="26" t="inlineStr"/>
      <c r="L71" s="29" t="n"/>
      <c r="M71" s="29" t="n"/>
    </row>
    <row r="72" ht="30" customHeight="1">
      <c r="A72" s="25" t="n">
        <v>46406</v>
      </c>
      <c r="B72" s="26" t="inlineStr">
        <is>
          <t>Tue</t>
        </is>
      </c>
      <c r="C72" s="26" t="n">
        <v>19</v>
      </c>
      <c r="D72" s="26" t="inlineStr">
        <is>
          <t>Q2</t>
        </is>
      </c>
      <c r="E72" s="26" t="inlineStr">
        <is>
          <t>Alon Wolf</t>
        </is>
      </c>
      <c r="F72" s="26" t="inlineStr">
        <is>
          <t>#3</t>
        </is>
      </c>
      <c r="G72" s="30" t="inlineStr">
        <is>
          <t>B</t>
        </is>
      </c>
      <c r="H72" s="26" t="inlineStr">
        <is>
          <t>phone</t>
        </is>
      </c>
      <c r="I72" s="28" t="inlineStr">
        <is>
          <t>What can they give — office hours, referrals into Cyera, mentoring? And what do they need from us right now?</t>
        </is>
      </c>
      <c r="J72" s="26" t="inlineStr">
        <is>
          <t>+972546611903</t>
        </is>
      </c>
      <c r="K72" s="26" t="inlineStr">
        <is>
          <t>alonwolfy@gmail.com</t>
        </is>
      </c>
      <c r="L72" s="29" t="n"/>
      <c r="M72" s="29" t="n"/>
    </row>
    <row r="73" ht="30" customHeight="1">
      <c r="A73" s="25" t="n">
        <v>46407</v>
      </c>
      <c r="B73" s="26" t="inlineStr">
        <is>
          <t>Wed</t>
        </is>
      </c>
      <c r="C73" s="26" t="n">
        <v>19</v>
      </c>
      <c r="D73" s="26" t="inlineStr">
        <is>
          <t>Q2</t>
        </is>
      </c>
      <c r="E73" s="26" t="inlineStr">
        <is>
          <t>Ariel Bachar</t>
        </is>
      </c>
      <c r="F73" s="26" t="inlineStr">
        <is>
          <t>#3</t>
        </is>
      </c>
      <c r="G73" s="30" t="inlineStr">
        <is>
          <t>B</t>
        </is>
      </c>
      <c r="H73" s="26" t="inlineStr">
        <is>
          <t>phone</t>
        </is>
      </c>
      <c r="I73" s="28" t="inlineStr">
        <is>
          <t>What can they give — office hours, referrals into Zafran, mentoring? And what do they need from us right now?</t>
        </is>
      </c>
      <c r="J73" s="26" t="inlineStr">
        <is>
          <t>+972545301526</t>
        </is>
      </c>
      <c r="K73" s="26" t="inlineStr">
        <is>
          <t>relrelbachar@gmail.com</t>
        </is>
      </c>
      <c r="L73" s="29" t="n"/>
      <c r="M73" s="29" t="n"/>
    </row>
    <row r="74" ht="30" customHeight="1">
      <c r="A74" s="25" t="n">
        <v>46411</v>
      </c>
      <c r="B74" s="26" t="inlineStr">
        <is>
          <t>Sun</t>
        </is>
      </c>
      <c r="C74" s="26" t="n">
        <v>20</v>
      </c>
      <c r="D74" s="26" t="inlineStr">
        <is>
          <t>Q2</t>
        </is>
      </c>
      <c r="E74" s="26" t="inlineStr">
        <is>
          <t>Meir Adest</t>
        </is>
      </c>
      <c r="F74" s="26" t="inlineStr">
        <is>
          <t>#1</t>
        </is>
      </c>
      <c r="G74" s="27" t="inlineStr">
        <is>
          <t>A</t>
        </is>
      </c>
      <c r="H74" s="26" t="inlineStr">
        <is>
          <t>linkedin</t>
        </is>
      </c>
      <c r="I74" s="28" t="inlineStr">
        <is>
          <t>Node candidate. What can they open for our alumni, and would they give office hours?</t>
        </is>
      </c>
      <c r="J74" s="26" t="inlineStr"/>
      <c r="K74" s="26" t="inlineStr"/>
      <c r="L74" s="29" t="n"/>
      <c r="M74" s="29" t="n"/>
    </row>
    <row r="75" ht="30" customHeight="1">
      <c r="A75" s="25" t="n">
        <v>46412</v>
      </c>
      <c r="B75" s="26" t="inlineStr">
        <is>
          <t>Mon</t>
        </is>
      </c>
      <c r="C75" s="26" t="n">
        <v>20</v>
      </c>
      <c r="D75" s="26" t="inlineStr">
        <is>
          <t>Q2</t>
        </is>
      </c>
      <c r="E75" s="26" t="inlineStr">
        <is>
          <t>Avraham Berrebi</t>
        </is>
      </c>
      <c r="F75" s="26" t="inlineStr">
        <is>
          <t>#3</t>
        </is>
      </c>
      <c r="G75" s="30" t="inlineStr">
        <is>
          <t>B</t>
        </is>
      </c>
      <c r="H75" s="26" t="inlineStr">
        <is>
          <t>phone</t>
        </is>
      </c>
      <c r="I75" s="28" t="inlineStr">
        <is>
          <t>What can they give — office hours, referrals, mentoring? And what do they need from us right now?</t>
        </is>
      </c>
      <c r="J75" s="26" t="inlineStr">
        <is>
          <t>+972526207606</t>
        </is>
      </c>
      <c r="K75" s="26" t="inlineStr">
        <is>
          <t>avraham.berr@gmail.com</t>
        </is>
      </c>
      <c r="L75" s="29" t="n"/>
      <c r="M75" s="29" t="n"/>
    </row>
    <row r="76" ht="30" customHeight="1">
      <c r="A76" s="25" t="n">
        <v>46413</v>
      </c>
      <c r="B76" s="26" t="inlineStr">
        <is>
          <t>Tue</t>
        </is>
      </c>
      <c r="C76" s="26" t="n">
        <v>20</v>
      </c>
      <c r="D76" s="26" t="inlineStr">
        <is>
          <t>Q2</t>
        </is>
      </c>
      <c r="E76" s="26" t="inlineStr">
        <is>
          <t>Adi Tzhori Moshe</t>
        </is>
      </c>
      <c r="F76" s="26" t="inlineStr">
        <is>
          <t>#3</t>
        </is>
      </c>
      <c r="G76" s="31" t="inlineStr">
        <is>
          <t>C</t>
        </is>
      </c>
      <c r="H76" s="26" t="inlineStr">
        <is>
          <t>linkedin</t>
        </is>
      </c>
      <c r="I76" s="28" t="inlineStr">
        <is>
          <t>Stay current — still at Kardome (voice AI)? What are they working on in ai-ml, and what would help?</t>
        </is>
      </c>
      <c r="J76" s="26" t="inlineStr"/>
      <c r="K76" s="26" t="inlineStr"/>
      <c r="L76" s="29" t="n"/>
      <c r="M76" s="29" t="n"/>
    </row>
    <row r="77" ht="30" customHeight="1">
      <c r="A77" s="25" t="n">
        <v>46418</v>
      </c>
      <c r="B77" s="26" t="inlineStr">
        <is>
          <t>Sun</t>
        </is>
      </c>
      <c r="C77" s="26" t="n">
        <v>21</v>
      </c>
      <c r="D77" s="26" t="inlineStr">
        <is>
          <t>Q2</t>
        </is>
      </c>
      <c r="E77" s="26" t="inlineStr">
        <is>
          <t>Michael Kellner</t>
        </is>
      </c>
      <c r="F77" s="26" t="inlineStr">
        <is>
          <t>#1</t>
        </is>
      </c>
      <c r="G77" s="27" t="inlineStr">
        <is>
          <t>A</t>
        </is>
      </c>
      <c r="H77" s="26" t="inlineStr">
        <is>
          <t>phone</t>
        </is>
      </c>
      <c r="I77" s="28" t="inlineStr">
        <is>
          <t>Node candidate — founded SendBlocks. What can they open for our alumni, and would they give office hours?</t>
        </is>
      </c>
      <c r="J77" s="26" t="inlineStr">
        <is>
          <t>+972545311213</t>
        </is>
      </c>
      <c r="K77" s="26" t="inlineStr">
        <is>
          <t>mike53il@gmail.com</t>
        </is>
      </c>
      <c r="L77" s="29" t="n"/>
      <c r="M77" s="29" t="n"/>
    </row>
    <row r="78" ht="30" customHeight="1">
      <c r="A78" s="25" t="n">
        <v>46419</v>
      </c>
      <c r="B78" s="26" t="inlineStr">
        <is>
          <t>Mon</t>
        </is>
      </c>
      <c r="C78" s="26" t="n">
        <v>21</v>
      </c>
      <c r="D78" s="26" t="inlineStr">
        <is>
          <t>Q2</t>
        </is>
      </c>
      <c r="E78" s="26" t="inlineStr">
        <is>
          <t>Uri Shaked</t>
        </is>
      </c>
      <c r="F78" s="26" t="inlineStr">
        <is>
          <t>#1</t>
        </is>
      </c>
      <c r="G78" s="27" t="inlineStr">
        <is>
          <t>A</t>
        </is>
      </c>
      <c r="H78" s="26" t="inlineStr">
        <is>
          <t>linkedin</t>
        </is>
      </c>
      <c r="I78" s="28" t="inlineStr">
        <is>
          <t>Node candidate. What can they open for our alumni, and would they give office hours?</t>
        </is>
      </c>
      <c r="J78" s="26" t="inlineStr"/>
      <c r="K78" s="26" t="inlineStr"/>
      <c r="L78" s="29" t="n"/>
      <c r="M78" s="29" t="n"/>
    </row>
    <row r="79" ht="30" customHeight="1">
      <c r="A79" s="25" t="n">
        <v>46420</v>
      </c>
      <c r="B79" s="26" t="inlineStr">
        <is>
          <t>Tue</t>
        </is>
      </c>
      <c r="C79" s="26" t="n">
        <v>21</v>
      </c>
      <c r="D79" s="26" t="inlineStr">
        <is>
          <t>Q2</t>
        </is>
      </c>
      <c r="E79" s="26" t="inlineStr">
        <is>
          <t>Georgy Melamed</t>
        </is>
      </c>
      <c r="F79" s="26" t="inlineStr">
        <is>
          <t>#3</t>
        </is>
      </c>
      <c r="G79" s="30" t="inlineStr">
        <is>
          <t>B</t>
        </is>
      </c>
      <c r="H79" s="26" t="inlineStr">
        <is>
          <t>phone</t>
        </is>
      </c>
      <c r="I79" s="28" t="inlineStr">
        <is>
          <t>What can they give — office hours, referrals into Walmart Global Tech, mentoring? And what do they need from us right now?</t>
        </is>
      </c>
      <c r="J79" s="26" t="inlineStr">
        <is>
          <t>+972523872832</t>
        </is>
      </c>
      <c r="K79" s="26" t="inlineStr">
        <is>
          <t>gmelamed@gmail.com</t>
        </is>
      </c>
      <c r="L79" s="29" t="n"/>
      <c r="M79" s="29" t="n"/>
    </row>
    <row r="80" ht="30" customHeight="1">
      <c r="A80" s="25" t="n">
        <v>46421</v>
      </c>
      <c r="B80" s="26" t="inlineStr">
        <is>
          <t>Wed</t>
        </is>
      </c>
      <c r="C80" s="26" t="n">
        <v>21</v>
      </c>
      <c r="D80" s="26" t="inlineStr">
        <is>
          <t>Q2</t>
        </is>
      </c>
      <c r="E80" s="26" t="inlineStr">
        <is>
          <t>Adir Kobovich</t>
        </is>
      </c>
      <c r="F80" s="26" t="inlineStr">
        <is>
          <t>#3</t>
        </is>
      </c>
      <c r="G80" s="31" t="inlineStr">
        <is>
          <t>C</t>
        </is>
      </c>
      <c r="H80" s="26" t="inlineStr">
        <is>
          <t>phone</t>
        </is>
      </c>
      <c r="I80" s="28" t="inlineStr">
        <is>
          <t>Stay current — still at Technion (coding/information theory, DNA storage lab)? What are they working on in research, and what would help?</t>
        </is>
      </c>
      <c r="J80" s="26" t="inlineStr">
        <is>
          <t>+972546540789</t>
        </is>
      </c>
      <c r="K80" s="26" t="inlineStr">
        <is>
          <t>adir.kob@gmail.com</t>
        </is>
      </c>
      <c r="L80" s="29" t="n"/>
      <c r="M80" s="29" t="n"/>
    </row>
    <row r="81" ht="30" customHeight="1">
      <c r="A81" s="25" t="n">
        <v>46425</v>
      </c>
      <c r="B81" s="26" t="inlineStr">
        <is>
          <t>Sun</t>
        </is>
      </c>
      <c r="C81" s="26" t="n">
        <v>22</v>
      </c>
      <c r="D81" s="26" t="inlineStr">
        <is>
          <t>Q2</t>
        </is>
      </c>
      <c r="E81" s="26" t="inlineStr">
        <is>
          <t>Zvi Wexlstein</t>
        </is>
      </c>
      <c r="F81" s="26" t="inlineStr">
        <is>
          <t>#1</t>
        </is>
      </c>
      <c r="G81" s="27" t="inlineStr">
        <is>
          <t>A</t>
        </is>
      </c>
      <c r="H81" s="26" t="inlineStr">
        <is>
          <t>email</t>
        </is>
      </c>
      <c r="I81" s="28" t="inlineStr">
        <is>
          <t>Transition point — what are they building or moving toward, what is the blocker, and who should they meet?</t>
        </is>
      </c>
      <c r="J81" s="26" t="inlineStr"/>
      <c r="K81" s="26" t="inlineStr">
        <is>
          <t>zviwex@gmail.com</t>
        </is>
      </c>
      <c r="L81" s="29" t="n"/>
      <c r="M81" s="29" t="n"/>
    </row>
    <row r="82" ht="30" customHeight="1">
      <c r="A82" s="25" t="n">
        <v>46426</v>
      </c>
      <c r="B82" s="26" t="inlineStr">
        <is>
          <t>Mon</t>
        </is>
      </c>
      <c r="C82" s="26" t="n">
        <v>22</v>
      </c>
      <c r="D82" s="26" t="inlineStr">
        <is>
          <t>Q2</t>
        </is>
      </c>
      <c r="E82" s="26" t="inlineStr">
        <is>
          <t>Almog Zer</t>
        </is>
      </c>
      <c r="F82" s="26" t="inlineStr">
        <is>
          <t>#2</t>
        </is>
      </c>
      <c r="G82" s="27" t="inlineStr">
        <is>
          <t>A</t>
        </is>
      </c>
      <c r="H82" s="26" t="inlineStr">
        <is>
          <t>phone</t>
        </is>
      </c>
      <c r="I82" s="28" t="inlineStr">
        <is>
          <t>Founding track — building this year? What is the blocker, is co-founder the gap, and who should they meet?</t>
        </is>
      </c>
      <c r="J82" s="26" t="inlineStr">
        <is>
          <t>+972507363131</t>
        </is>
      </c>
      <c r="K82" s="26" t="inlineStr">
        <is>
          <t>almogx3@gmail.com</t>
        </is>
      </c>
      <c r="L82" s="29" t="n"/>
      <c r="M82" s="29" t="n"/>
    </row>
    <row r="83" ht="30" customHeight="1">
      <c r="A83" s="25" t="n">
        <v>46427</v>
      </c>
      <c r="B83" s="26" t="inlineStr">
        <is>
          <t>Tue</t>
        </is>
      </c>
      <c r="C83" s="26" t="n">
        <v>22</v>
      </c>
      <c r="D83" s="26" t="inlineStr">
        <is>
          <t>Q2</t>
        </is>
      </c>
      <c r="E83" s="26" t="inlineStr">
        <is>
          <t>Guy Goldenberg</t>
        </is>
      </c>
      <c r="F83" s="26" t="inlineStr">
        <is>
          <t>#3</t>
        </is>
      </c>
      <c r="G83" s="30" t="inlineStr">
        <is>
          <t>B</t>
        </is>
      </c>
      <c r="H83" s="26" t="inlineStr">
        <is>
          <t>phone</t>
        </is>
      </c>
      <c r="I83" s="28" t="inlineStr">
        <is>
          <t>What can they give — office hours, referrals into Wiz, mentoring? And what do they need from us right now?</t>
        </is>
      </c>
      <c r="J83" s="26" t="inlineStr">
        <is>
          <t>+972542172153</t>
        </is>
      </c>
      <c r="K83" s="26" t="inlineStr">
        <is>
          <t>guy.goldenberg@gmail.com</t>
        </is>
      </c>
      <c r="L83" s="29" t="n"/>
      <c r="M83" s="29" t="n"/>
    </row>
    <row r="84" ht="30" customHeight="1">
      <c r="A84" s="25" t="n">
        <v>46428</v>
      </c>
      <c r="B84" s="26" t="inlineStr">
        <is>
          <t>Wed</t>
        </is>
      </c>
      <c r="C84" s="26" t="n">
        <v>22</v>
      </c>
      <c r="D84" s="26" t="inlineStr">
        <is>
          <t>Q2</t>
        </is>
      </c>
      <c r="E84" s="26" t="inlineStr">
        <is>
          <t>Idan Lev-Yehudi</t>
        </is>
      </c>
      <c r="F84" s="26" t="inlineStr">
        <is>
          <t>#3</t>
        </is>
      </c>
      <c r="G84" s="30" t="inlineStr">
        <is>
          <t>B</t>
        </is>
      </c>
      <c r="H84" s="26" t="inlineStr">
        <is>
          <t>phone</t>
        </is>
      </c>
      <c r="I84" s="28" t="inlineStr">
        <is>
          <t>What can they give — office hours, referrals into Technion Autonomous Systems (POMDP planning), mentoring? And what do they need from us right now?</t>
        </is>
      </c>
      <c r="J84" s="26" t="inlineStr">
        <is>
          <t>+972523059999</t>
        </is>
      </c>
      <c r="K84" s="26" t="inlineStr">
        <is>
          <t>idanly98@gmail.com</t>
        </is>
      </c>
      <c r="L84" s="29" t="n"/>
      <c r="M84" s="29" t="n"/>
    </row>
    <row r="85" ht="30" customHeight="1">
      <c r="A85" s="25" t="n">
        <v>46432</v>
      </c>
      <c r="B85" s="26" t="inlineStr">
        <is>
          <t>Sun</t>
        </is>
      </c>
      <c r="C85" s="26" t="n">
        <v>23</v>
      </c>
      <c r="D85" s="26" t="inlineStr">
        <is>
          <t>Q2</t>
        </is>
      </c>
      <c r="E85" s="26" t="inlineStr">
        <is>
          <t>Bar Matityahu</t>
        </is>
      </c>
      <c r="F85" s="26" t="inlineStr">
        <is>
          <t>#2</t>
        </is>
      </c>
      <c r="G85" s="27" t="inlineStr">
        <is>
          <t>A</t>
        </is>
      </c>
      <c r="H85" s="26" t="inlineStr">
        <is>
          <t>phone</t>
        </is>
      </c>
      <c r="I85" s="28" t="inlineStr">
        <is>
          <t>Founding track — building this year? What is the blocker, is co-founder the gap, and who should they meet?</t>
        </is>
      </c>
      <c r="J85" s="26" t="inlineStr">
        <is>
          <t>+972525892000</t>
        </is>
      </c>
      <c r="K85" s="26" t="inlineStr">
        <is>
          <t>barmatit@gmail.com</t>
        </is>
      </c>
      <c r="L85" s="29" t="n"/>
      <c r="M85" s="29" t="n"/>
    </row>
    <row r="86" ht="30" customHeight="1">
      <c r="A86" s="25" t="n">
        <v>46433</v>
      </c>
      <c r="B86" s="26" t="inlineStr">
        <is>
          <t>Mon</t>
        </is>
      </c>
      <c r="C86" s="26" t="n">
        <v>23</v>
      </c>
      <c r="D86" s="26" t="inlineStr">
        <is>
          <t>Q2</t>
        </is>
      </c>
      <c r="E86" s="26" t="inlineStr">
        <is>
          <t>Itamar Gilad</t>
        </is>
      </c>
      <c r="F86" s="26" t="inlineStr">
        <is>
          <t>#3</t>
        </is>
      </c>
      <c r="G86" s="30" t="inlineStr">
        <is>
          <t>B</t>
        </is>
      </c>
      <c r="H86" s="26" t="inlineStr">
        <is>
          <t>phone</t>
        </is>
      </c>
      <c r="I86" s="28" t="inlineStr">
        <is>
          <t>What can they give — office hours, referrals into Wiz, mentoring? And what do they need from us right now?</t>
        </is>
      </c>
      <c r="J86" s="26" t="inlineStr">
        <is>
          <t>+972504787314</t>
        </is>
      </c>
      <c r="K86" s="26" t="inlineStr">
        <is>
          <t>itamar.gilad@wiz.io</t>
        </is>
      </c>
      <c r="L86" s="29" t="n"/>
      <c r="M86" s="29" t="n"/>
    </row>
    <row r="87" ht="30" customHeight="1">
      <c r="A87" s="25" t="n">
        <v>46434</v>
      </c>
      <c r="B87" s="26" t="inlineStr">
        <is>
          <t>Tue</t>
        </is>
      </c>
      <c r="C87" s="26" t="n">
        <v>23</v>
      </c>
      <c r="D87" s="26" t="inlineStr">
        <is>
          <t>Q2</t>
        </is>
      </c>
      <c r="E87" s="26" t="inlineStr">
        <is>
          <t>Itay Gissis</t>
        </is>
      </c>
      <c r="F87" s="26" t="inlineStr">
        <is>
          <t>#3</t>
        </is>
      </c>
      <c r="G87" s="30" t="inlineStr">
        <is>
          <t>B</t>
        </is>
      </c>
      <c r="H87" s="26" t="inlineStr">
        <is>
          <t>phone</t>
        </is>
      </c>
      <c r="I87" s="28" t="inlineStr">
        <is>
          <t>What can they give — office hours, referrals into nT-Tao (compact fusion), mentoring? And what do they need from us right now?</t>
        </is>
      </c>
      <c r="J87" s="26" t="inlineStr">
        <is>
          <t>+972504039870</t>
        </is>
      </c>
      <c r="K87" s="26" t="inlineStr">
        <is>
          <t>itaigiss@gmail.com</t>
        </is>
      </c>
      <c r="L87" s="29" t="n"/>
      <c r="M87" s="29" t="n"/>
    </row>
    <row r="88" ht="30" customHeight="1">
      <c r="A88" s="25" t="n">
        <v>46435</v>
      </c>
      <c r="B88" s="26" t="inlineStr">
        <is>
          <t>Wed</t>
        </is>
      </c>
      <c r="C88" s="26" t="n">
        <v>23</v>
      </c>
      <c r="D88" s="26" t="inlineStr">
        <is>
          <t>Q2</t>
        </is>
      </c>
      <c r="E88" s="26" t="inlineStr">
        <is>
          <t>Amir Balva</t>
        </is>
      </c>
      <c r="F88" s="26" t="inlineStr">
        <is>
          <t>#3</t>
        </is>
      </c>
      <c r="G88" s="31" t="inlineStr">
        <is>
          <t>C</t>
        </is>
      </c>
      <c r="H88" s="26" t="inlineStr">
        <is>
          <t>phone</t>
        </is>
      </c>
      <c r="I88" s="28" t="inlineStr">
        <is>
          <t>Stay current — what are they working on now, and what would help?</t>
        </is>
      </c>
      <c r="J88" s="26" t="inlineStr">
        <is>
          <t>+972525591311</t>
        </is>
      </c>
      <c r="K88" s="26" t="inlineStr">
        <is>
          <t>amirbalva@gmail.com</t>
        </is>
      </c>
      <c r="L88" s="29" t="n"/>
      <c r="M88" s="29" t="n"/>
    </row>
    <row r="89" ht="30" customHeight="1">
      <c r="A89" s="25" t="n">
        <v>46439</v>
      </c>
      <c r="B89" s="26" t="inlineStr">
        <is>
          <t>Sun</t>
        </is>
      </c>
      <c r="C89" s="26" t="n">
        <v>24</v>
      </c>
      <c r="D89" s="26" t="inlineStr">
        <is>
          <t>Q2</t>
        </is>
      </c>
      <c r="E89" s="26" t="inlineStr">
        <is>
          <t>Benny Rousso</t>
        </is>
      </c>
      <c r="F89" s="26" t="inlineStr">
        <is>
          <t>#2</t>
        </is>
      </c>
      <c r="G89" s="27" t="inlineStr">
        <is>
          <t>A</t>
        </is>
      </c>
      <c r="H89" s="26" t="inlineStr">
        <is>
          <t>phone</t>
        </is>
      </c>
      <c r="I89" s="28" t="inlineStr">
        <is>
          <t>Node candidate — founded Xcardia. What can they open for our alumni, and would they give office hours?</t>
        </is>
      </c>
      <c r="J89" s="26" t="inlineStr">
        <is>
          <t>+972544345653</t>
        </is>
      </c>
      <c r="K89" s="26" t="inlineStr">
        <is>
          <t>rousso.benny@gmail.com</t>
        </is>
      </c>
      <c r="L89" s="29" t="n"/>
      <c r="M89" s="29" t="n"/>
    </row>
    <row r="90" ht="30" customHeight="1">
      <c r="A90" s="25" t="n">
        <v>46440</v>
      </c>
      <c r="B90" s="26" t="inlineStr">
        <is>
          <t>Mon</t>
        </is>
      </c>
      <c r="C90" s="26" t="n">
        <v>24</v>
      </c>
      <c r="D90" s="26" t="inlineStr">
        <is>
          <t>Q2</t>
        </is>
      </c>
      <c r="E90" s="26" t="inlineStr">
        <is>
          <t>Liad Ben Uri</t>
        </is>
      </c>
      <c r="F90" s="26" t="inlineStr">
        <is>
          <t>#3</t>
        </is>
      </c>
      <c r="G90" s="30" t="inlineStr">
        <is>
          <t>B</t>
        </is>
      </c>
      <c r="H90" s="26" t="inlineStr">
        <is>
          <t>phone</t>
        </is>
      </c>
      <c r="I90" s="28" t="inlineStr">
        <is>
          <t>What can they give — office hours, referrals into Weizmann (Milo lab, Nature co-author), mentoring? And what do they need from us right now?</t>
        </is>
      </c>
      <c r="J90" s="26" t="inlineStr">
        <is>
          <t>+972546326372</t>
        </is>
      </c>
      <c r="K90" s="26" t="inlineStr">
        <is>
          <t>liadgo2@gmail.com</t>
        </is>
      </c>
      <c r="L90" s="29" t="n"/>
      <c r="M90" s="29" t="n"/>
    </row>
    <row r="91" ht="30" customHeight="1">
      <c r="A91" s="25" t="n">
        <v>46441</v>
      </c>
      <c r="B91" s="26" t="inlineStr">
        <is>
          <t>Tue</t>
        </is>
      </c>
      <c r="C91" s="26" t="n">
        <v>24</v>
      </c>
      <c r="D91" s="26" t="inlineStr">
        <is>
          <t>Q2</t>
        </is>
      </c>
      <c r="E91" s="26" t="inlineStr">
        <is>
          <t>Amitai Nevo</t>
        </is>
      </c>
      <c r="F91" s="26" t="inlineStr">
        <is>
          <t>#3</t>
        </is>
      </c>
      <c r="G91" s="31" t="inlineStr">
        <is>
          <t>C</t>
        </is>
      </c>
      <c r="H91" s="26" t="inlineStr">
        <is>
          <t>phone</t>
        </is>
      </c>
      <c r="I91" s="28" t="inlineStr">
        <is>
          <t>Stay current — still at Franklin by QIAGEN? What are they working on, and what would help?</t>
        </is>
      </c>
      <c r="J91" s="26" t="inlineStr">
        <is>
          <t>+972522344098</t>
        </is>
      </c>
      <c r="K91" s="26" t="inlineStr">
        <is>
          <t>amitai.nevo2@gmail.com</t>
        </is>
      </c>
      <c r="L91" s="29" t="n"/>
      <c r="M91" s="29" t="n"/>
    </row>
    <row r="92" ht="30" customHeight="1">
      <c r="A92" s="25" t="n">
        <v>46446</v>
      </c>
      <c r="B92" s="26" t="inlineStr">
        <is>
          <t>Sun</t>
        </is>
      </c>
      <c r="C92" s="26" t="n">
        <v>25</v>
      </c>
      <c r="D92" s="26" t="inlineStr">
        <is>
          <t>Q2</t>
        </is>
      </c>
      <c r="E92" s="26" t="inlineStr">
        <is>
          <t>Gal Wiernik</t>
        </is>
      </c>
      <c r="F92" s="26" t="inlineStr">
        <is>
          <t>#2</t>
        </is>
      </c>
      <c r="G92" s="27" t="inlineStr">
        <is>
          <t>A</t>
        </is>
      </c>
      <c r="H92" s="26" t="inlineStr">
        <is>
          <t>phone</t>
        </is>
      </c>
      <c r="I92" s="28" t="inlineStr">
        <is>
          <t>Node candidate — founded Edwin. What can they open for our alumni, and would they give office hours?</t>
        </is>
      </c>
      <c r="J92" s="26" t="inlineStr">
        <is>
          <t>+972502338655</t>
        </is>
      </c>
      <c r="K92" s="26" t="inlineStr">
        <is>
          <t>galwiernik@gmail.com</t>
        </is>
      </c>
      <c r="L92" s="29" t="n"/>
      <c r="M92" s="29" t="n"/>
    </row>
    <row r="93" ht="30" customHeight="1">
      <c r="A93" s="25" t="n">
        <v>46447</v>
      </c>
      <c r="B93" s="26" t="inlineStr">
        <is>
          <t>Mon</t>
        </is>
      </c>
      <c r="C93" s="26" t="n">
        <v>25</v>
      </c>
      <c r="D93" s="26" t="inlineStr">
        <is>
          <t>Q3</t>
        </is>
      </c>
      <c r="E93" s="26" t="inlineStr">
        <is>
          <t>Guy Yoshpe</t>
        </is>
      </c>
      <c r="F93" s="26" t="inlineStr">
        <is>
          <t>#2</t>
        </is>
      </c>
      <c r="G93" s="27" t="inlineStr">
        <is>
          <t>A</t>
        </is>
      </c>
      <c r="H93" s="26" t="inlineStr">
        <is>
          <t>phone</t>
        </is>
      </c>
      <c r="I93" s="28" t="inlineStr">
        <is>
          <t>Founding track — building this year? What is the blocker, is co-founder the gap, and who should they meet?</t>
        </is>
      </c>
      <c r="J93" s="26" t="inlineStr">
        <is>
          <t>+972508717313</t>
        </is>
      </c>
      <c r="K93" s="26" t="inlineStr">
        <is>
          <t>yoshpe@gmail.com</t>
        </is>
      </c>
      <c r="L93" s="29" t="n"/>
      <c r="M93" s="29" t="n"/>
    </row>
    <row r="94" ht="30" customHeight="1">
      <c r="A94" s="25" t="n">
        <v>46448</v>
      </c>
      <c r="B94" s="26" t="inlineStr">
        <is>
          <t>Tue</t>
        </is>
      </c>
      <c r="C94" s="26" t="n">
        <v>25</v>
      </c>
      <c r="D94" s="26" t="inlineStr">
        <is>
          <t>Q3</t>
        </is>
      </c>
      <c r="E94" s="26" t="inlineStr">
        <is>
          <t>Mark Popov</t>
        </is>
      </c>
      <c r="F94" s="26" t="inlineStr">
        <is>
          <t>#3</t>
        </is>
      </c>
      <c r="G94" s="30" t="inlineStr">
        <is>
          <t>B</t>
        </is>
      </c>
      <c r="H94" s="26" t="inlineStr">
        <is>
          <t>phone</t>
        </is>
      </c>
      <c r="I94" s="28" t="inlineStr">
        <is>
          <t>What can they give — office hours, referrals into Vayyar Imaging, mentoring? And what do they need from us right now?</t>
        </is>
      </c>
      <c r="J94" s="26" t="inlineStr">
        <is>
          <t>+972544321050</t>
        </is>
      </c>
      <c r="K94" s="26" t="inlineStr">
        <is>
          <t>mark.popov@gmail.com</t>
        </is>
      </c>
      <c r="L94" s="29" t="n"/>
      <c r="M94" s="29" t="n"/>
    </row>
    <row r="95" ht="30" customHeight="1">
      <c r="A95" s="25" t="n">
        <v>46449</v>
      </c>
      <c r="B95" s="26" t="inlineStr">
        <is>
          <t>Wed</t>
        </is>
      </c>
      <c r="C95" s="26" t="n">
        <v>25</v>
      </c>
      <c r="D95" s="26" t="inlineStr">
        <is>
          <t>Q3</t>
        </is>
      </c>
      <c r="E95" s="26" t="inlineStr">
        <is>
          <t>Matan Shoef</t>
        </is>
      </c>
      <c r="F95" s="26" t="inlineStr">
        <is>
          <t>#3</t>
        </is>
      </c>
      <c r="G95" s="30" t="inlineStr">
        <is>
          <t>B</t>
        </is>
      </c>
      <c r="H95" s="26" t="inlineStr">
        <is>
          <t>phone</t>
        </is>
      </c>
      <c r="I95" s="28" t="inlineStr">
        <is>
          <t>What can they give — office hours, referrals into OpenEyes, mentoring? And what do they need from us right now?</t>
        </is>
      </c>
      <c r="J95" s="26" t="inlineStr">
        <is>
          <t>+972545221060</t>
        </is>
      </c>
      <c r="K95" s="26" t="inlineStr">
        <is>
          <t>matan.shoef@gmail.com</t>
        </is>
      </c>
      <c r="L95" s="29" t="n"/>
      <c r="M95" s="29" t="n"/>
    </row>
    <row r="96" ht="30" customHeight="1">
      <c r="A96" s="25" t="n">
        <v>46453</v>
      </c>
      <c r="B96" s="26" t="inlineStr">
        <is>
          <t>Sun</t>
        </is>
      </c>
      <c r="C96" s="26" t="n">
        <v>26</v>
      </c>
      <c r="D96" s="26" t="inlineStr">
        <is>
          <t>Q3</t>
        </is>
      </c>
      <c r="E96" s="26" t="inlineStr">
        <is>
          <t>Eldad Kepten</t>
        </is>
      </c>
      <c r="F96" s="26" t="inlineStr">
        <is>
          <t>#1</t>
        </is>
      </c>
      <c r="G96" s="30" t="inlineStr">
        <is>
          <t>B</t>
        </is>
      </c>
      <c r="H96" s="26" t="inlineStr">
        <is>
          <t>linkedin</t>
        </is>
      </c>
      <c r="I96" s="28" t="inlineStr">
        <is>
          <t>What can they give — office hours, referrals, mentoring? And what do they need from us right now?</t>
        </is>
      </c>
      <c r="J96" s="26" t="inlineStr"/>
      <c r="K96" s="26" t="inlineStr"/>
      <c r="L96" s="29" t="n"/>
      <c r="M96" s="29" t="n"/>
    </row>
    <row r="97" ht="30" customHeight="1">
      <c r="A97" s="25" t="n">
        <v>46454</v>
      </c>
      <c r="B97" s="26" t="inlineStr">
        <is>
          <t>Mon</t>
        </is>
      </c>
      <c r="C97" s="26" t="n">
        <v>26</v>
      </c>
      <c r="D97" s="26" t="inlineStr">
        <is>
          <t>Q3</t>
        </is>
      </c>
      <c r="E97" s="26" t="inlineStr">
        <is>
          <t>Hila Shmuel</t>
        </is>
      </c>
      <c r="F97" s="26" t="inlineStr">
        <is>
          <t>#2</t>
        </is>
      </c>
      <c r="G97" s="27" t="inlineStr">
        <is>
          <t>A</t>
        </is>
      </c>
      <c r="H97" s="26" t="inlineStr">
        <is>
          <t>phone</t>
        </is>
      </c>
      <c r="I97" s="28" t="inlineStr">
        <is>
          <t>Node candidate — founded Cabinet (AI workspace). What can they open for our alumni, and would they give office hours?</t>
        </is>
      </c>
      <c r="J97" s="26" t="inlineStr">
        <is>
          <t>+972508871171</t>
        </is>
      </c>
      <c r="K97" s="26" t="inlineStr">
        <is>
          <t>hila4321@gmail.com</t>
        </is>
      </c>
      <c r="L97" s="29" t="n"/>
      <c r="M97" s="29" t="n"/>
    </row>
    <row r="98" ht="30" customHeight="1">
      <c r="A98" s="25" t="n">
        <v>46455</v>
      </c>
      <c r="B98" s="26" t="inlineStr">
        <is>
          <t>Tue</t>
        </is>
      </c>
      <c r="C98" s="26" t="n">
        <v>26</v>
      </c>
      <c r="D98" s="26" t="inlineStr">
        <is>
          <t>Q3</t>
        </is>
      </c>
      <c r="E98" s="26" t="inlineStr">
        <is>
          <t>Iddan Golomb</t>
        </is>
      </c>
      <c r="F98" s="26" t="inlineStr">
        <is>
          <t>#2</t>
        </is>
      </c>
      <c r="G98" s="27" t="inlineStr">
        <is>
          <t>A</t>
        </is>
      </c>
      <c r="H98" s="26" t="inlineStr">
        <is>
          <t>phone</t>
        </is>
      </c>
      <c r="I98" s="28" t="inlineStr">
        <is>
          <t>Node candidate — founded Sayata. What can they open for our alumni, and would they give office hours?</t>
        </is>
      </c>
      <c r="J98" s="26" t="inlineStr">
        <is>
          <t>+972542421974</t>
        </is>
      </c>
      <c r="K98" s="26" t="inlineStr">
        <is>
          <t>igolomb@gmail.com</t>
        </is>
      </c>
      <c r="L98" s="29" t="n"/>
      <c r="M98" s="29" t="n"/>
    </row>
    <row r="99" ht="30" customHeight="1">
      <c r="A99" s="25" t="n">
        <v>46456</v>
      </c>
      <c r="B99" s="26" t="inlineStr">
        <is>
          <t>Wed</t>
        </is>
      </c>
      <c r="C99" s="26" t="n">
        <v>26</v>
      </c>
      <c r="D99" s="26" t="inlineStr">
        <is>
          <t>Q3</t>
        </is>
      </c>
      <c r="E99" s="26" t="inlineStr">
        <is>
          <t>Avichay Radovsky</t>
        </is>
      </c>
      <c r="F99" s="26" t="inlineStr">
        <is>
          <t>#3</t>
        </is>
      </c>
      <c r="G99" s="31" t="inlineStr">
        <is>
          <t>C</t>
        </is>
      </c>
      <c r="H99" s="26" t="inlineStr">
        <is>
          <t>phone</t>
        </is>
      </c>
      <c r="I99" s="28" t="inlineStr">
        <is>
          <t>Roll-up — no verified role on file. What are they doing now, where are they heading, and what do they need?</t>
        </is>
      </c>
      <c r="J99" s="26" t="inlineStr">
        <is>
          <t>+972526351833</t>
        </is>
      </c>
      <c r="K99" s="26" t="inlineStr">
        <is>
          <t>avichayr@gmail.com</t>
        </is>
      </c>
      <c r="L99" s="29" t="n"/>
      <c r="M99" s="29" t="n"/>
    </row>
    <row r="100" ht="30" customHeight="1">
      <c r="A100" s="25" t="n">
        <v>46460</v>
      </c>
      <c r="B100" s="26" t="inlineStr">
        <is>
          <t>Sun</t>
        </is>
      </c>
      <c r="C100" s="26" t="n">
        <v>27</v>
      </c>
      <c r="D100" s="26" t="inlineStr">
        <is>
          <t>Q3</t>
        </is>
      </c>
      <c r="E100" s="26" t="inlineStr">
        <is>
          <t>Eran Hertzmann</t>
        </is>
      </c>
      <c r="F100" s="26" t="inlineStr">
        <is>
          <t>#1</t>
        </is>
      </c>
      <c r="G100" s="30" t="inlineStr">
        <is>
          <t>B</t>
        </is>
      </c>
      <c r="H100" s="26" t="inlineStr">
        <is>
          <t>phone</t>
        </is>
      </c>
      <c r="I100" s="28" t="inlineStr">
        <is>
          <t>What can they give — office hours, referrals, mentoring? And what do they need from us right now?</t>
        </is>
      </c>
      <c r="J100" s="26" t="inlineStr">
        <is>
          <t>+972545424895</t>
        </is>
      </c>
      <c r="K100" s="26" t="inlineStr">
        <is>
          <t>eran.hertzmann@gmail.com</t>
        </is>
      </c>
      <c r="L100" s="29" t="n"/>
      <c r="M100" s="29" t="n"/>
    </row>
    <row r="101" ht="30" customHeight="1">
      <c r="A101" s="25" t="n">
        <v>46461</v>
      </c>
      <c r="B101" s="26" t="inlineStr">
        <is>
          <t>Mon</t>
        </is>
      </c>
      <c r="C101" s="26" t="n">
        <v>27</v>
      </c>
      <c r="D101" s="26" t="inlineStr">
        <is>
          <t>Q3</t>
        </is>
      </c>
      <c r="E101" s="26" t="inlineStr">
        <is>
          <t>Gai Gutherz</t>
        </is>
      </c>
      <c r="F101" s="26" t="inlineStr">
        <is>
          <t>#1</t>
        </is>
      </c>
      <c r="G101" s="30" t="inlineStr">
        <is>
          <t>B</t>
        </is>
      </c>
      <c r="H101" s="26" t="inlineStr">
        <is>
          <t>linkedin</t>
        </is>
      </c>
      <c r="I101" s="28" t="inlineStr">
        <is>
          <t>What can they give — office hours, referrals into Miggo, mentoring? And what do they need from us right now?</t>
        </is>
      </c>
      <c r="J101" s="26" t="inlineStr"/>
      <c r="K101" s="26" t="inlineStr"/>
      <c r="L101" s="29" t="n"/>
      <c r="M101" s="29" t="n"/>
    </row>
    <row r="102" ht="30" customHeight="1">
      <c r="A102" s="25" t="n">
        <v>46462</v>
      </c>
      <c r="B102" s="26" t="inlineStr">
        <is>
          <t>Tue</t>
        </is>
      </c>
      <c r="C102" s="26" t="n">
        <v>27</v>
      </c>
      <c r="D102" s="26" t="inlineStr">
        <is>
          <t>Q3</t>
        </is>
      </c>
      <c r="E102" s="26" t="inlineStr">
        <is>
          <t>Jonathan Gilat</t>
        </is>
      </c>
      <c r="F102" s="26" t="inlineStr">
        <is>
          <t>#2</t>
        </is>
      </c>
      <c r="G102" s="27" t="inlineStr">
        <is>
          <t>A</t>
        </is>
      </c>
      <c r="H102" s="26" t="inlineStr">
        <is>
          <t>phone</t>
        </is>
      </c>
      <c r="I102" s="28" t="inlineStr">
        <is>
          <t>Node candidate — founded Medida AI. What can they open for our alumni, and would they give office hours?</t>
        </is>
      </c>
      <c r="J102" s="26" t="inlineStr">
        <is>
          <t>+972528198278</t>
        </is>
      </c>
      <c r="K102" s="26" t="inlineStr">
        <is>
          <t>jonathan@medida.ai</t>
        </is>
      </c>
      <c r="L102" s="29" t="n"/>
      <c r="M102" s="29" t="n"/>
    </row>
    <row r="103" ht="30" customHeight="1">
      <c r="A103" s="25" t="n">
        <v>46463</v>
      </c>
      <c r="B103" s="26" t="inlineStr">
        <is>
          <t>Wed</t>
        </is>
      </c>
      <c r="C103" s="26" t="n">
        <v>27</v>
      </c>
      <c r="D103" s="26" t="inlineStr">
        <is>
          <t>Q3</t>
        </is>
      </c>
      <c r="E103" s="26" t="inlineStr">
        <is>
          <t>Liran Markin</t>
        </is>
      </c>
      <c r="F103" s="26" t="inlineStr">
        <is>
          <t>#2</t>
        </is>
      </c>
      <c r="G103" s="27" t="inlineStr">
        <is>
          <t>A</t>
        </is>
      </c>
      <c r="H103" s="26" t="inlineStr">
        <is>
          <t>phone</t>
        </is>
      </c>
      <c r="I103" s="28" t="inlineStr">
        <is>
          <t>Node candidate — founded Edwin. What can they open for our alumni, and would they give office hours?</t>
        </is>
      </c>
      <c r="J103" s="26" t="inlineStr">
        <is>
          <t>+972544911254</t>
        </is>
      </c>
      <c r="K103" s="26" t="inlineStr">
        <is>
          <t>liran.markin@gmail.com</t>
        </is>
      </c>
      <c r="L103" s="29" t="n"/>
      <c r="M103" s="29" t="n"/>
    </row>
    <row r="104" ht="30" customHeight="1">
      <c r="A104" s="25" t="n">
        <v>46467</v>
      </c>
      <c r="B104" s="26" t="inlineStr">
        <is>
          <t>Sun</t>
        </is>
      </c>
      <c r="C104" s="26" t="n">
        <v>28</v>
      </c>
      <c r="D104" s="26" t="inlineStr">
        <is>
          <t>Q3</t>
        </is>
      </c>
      <c r="E104" s="26" t="inlineStr">
        <is>
          <t>Michal Shilo</t>
        </is>
      </c>
      <c r="F104" s="26" t="inlineStr">
        <is>
          <t>#1</t>
        </is>
      </c>
      <c r="G104" s="30" t="inlineStr">
        <is>
          <t>B</t>
        </is>
      </c>
      <c r="H104" s="26" t="inlineStr">
        <is>
          <t>phone</t>
        </is>
      </c>
      <c r="I104" s="28" t="inlineStr">
        <is>
          <t>What can they give — office hours, referrals, mentoring? And what do they need from us right now?</t>
        </is>
      </c>
      <c r="J104" s="26" t="inlineStr">
        <is>
          <t>+972524598022</t>
        </is>
      </c>
      <c r="K104" s="26" t="inlineStr">
        <is>
          <t>michalshilo6@gmail.com</t>
        </is>
      </c>
      <c r="L104" s="29" t="n"/>
      <c r="M104" s="29" t="n"/>
    </row>
    <row r="105" ht="30" customHeight="1">
      <c r="A105" s="25" t="n">
        <v>46468</v>
      </c>
      <c r="B105" s="26" t="inlineStr">
        <is>
          <t>Mon</t>
        </is>
      </c>
      <c r="C105" s="26" t="n">
        <v>28</v>
      </c>
      <c r="D105" s="26" t="inlineStr">
        <is>
          <t>Q3</t>
        </is>
      </c>
      <c r="E105" s="26" t="inlineStr">
        <is>
          <t>Nadav Zemach</t>
        </is>
      </c>
      <c r="F105" s="26" t="inlineStr">
        <is>
          <t>#1</t>
        </is>
      </c>
      <c r="G105" s="30" t="inlineStr">
        <is>
          <t>B</t>
        </is>
      </c>
      <c r="H105" s="26" t="inlineStr">
        <is>
          <t>linkedin</t>
        </is>
      </c>
      <c r="I105" s="28" t="inlineStr">
        <is>
          <t>What can they give — office hours, referrals, mentoring? And what do they need from us right now?</t>
        </is>
      </c>
      <c r="J105" s="26" t="inlineStr"/>
      <c r="K105" s="26" t="inlineStr"/>
      <c r="L105" s="29" t="n"/>
      <c r="M105" s="29" t="n"/>
    </row>
    <row r="106" ht="30" customHeight="1">
      <c r="A106" s="25" t="n">
        <v>46469</v>
      </c>
      <c r="B106" s="26" t="inlineStr">
        <is>
          <t>Tue</t>
        </is>
      </c>
      <c r="C106" s="26" t="n">
        <v>28</v>
      </c>
      <c r="D106" s="26" t="inlineStr">
        <is>
          <t>Q3</t>
        </is>
      </c>
      <c r="E106" s="26" t="inlineStr">
        <is>
          <t>Michael Komraz</t>
        </is>
      </c>
      <c r="F106" s="26" t="inlineStr">
        <is>
          <t>#2</t>
        </is>
      </c>
      <c r="G106" s="27" t="inlineStr">
        <is>
          <t>A</t>
        </is>
      </c>
      <c r="H106" s="26" t="inlineStr">
        <is>
          <t>phone</t>
        </is>
      </c>
      <c r="I106" s="28" t="inlineStr">
        <is>
          <t>Founding track — building this year? What is the blocker, is co-founder the gap, and who should they meet?</t>
        </is>
      </c>
      <c r="J106" s="26" t="inlineStr">
        <is>
          <t>+972544319975</t>
        </is>
      </c>
      <c r="K106" s="26" t="inlineStr">
        <is>
          <t>mikomraz@gmail.com</t>
        </is>
      </c>
      <c r="L106" s="29" t="n"/>
      <c r="M106" s="29" t="n"/>
    </row>
    <row r="107" ht="30" customHeight="1">
      <c r="A107" s="25" t="n">
        <v>46470</v>
      </c>
      <c r="B107" s="26" t="inlineStr">
        <is>
          <t>Wed</t>
        </is>
      </c>
      <c r="C107" s="26" t="n">
        <v>28</v>
      </c>
      <c r="D107" s="26" t="inlineStr">
        <is>
          <t>Q3</t>
        </is>
      </c>
      <c r="E107" s="26" t="inlineStr">
        <is>
          <t>David Shasha</t>
        </is>
      </c>
      <c r="F107" s="26" t="inlineStr">
        <is>
          <t>#3</t>
        </is>
      </c>
      <c r="G107" s="31" t="inlineStr">
        <is>
          <t>C</t>
        </is>
      </c>
      <c r="H107" s="26" t="inlineStr">
        <is>
          <t>phone</t>
        </is>
      </c>
      <c r="I107" s="28" t="inlineStr">
        <is>
          <t>Stay current — still at Stealth? What are they working on, and what would help?</t>
        </is>
      </c>
      <c r="J107" s="26" t="inlineStr">
        <is>
          <t>+972544961009</t>
        </is>
      </c>
      <c r="K107" s="26" t="inlineStr">
        <is>
          <t>davidroyshasha@gmail.com</t>
        </is>
      </c>
      <c r="L107" s="29" t="n"/>
      <c r="M107" s="29" t="n"/>
    </row>
    <row r="108" ht="30" customHeight="1">
      <c r="A108" s="25" t="n">
        <v>46474</v>
      </c>
      <c r="B108" s="26" t="inlineStr">
        <is>
          <t>Sun</t>
        </is>
      </c>
      <c r="C108" s="26" t="n">
        <v>29</v>
      </c>
      <c r="D108" s="26" t="inlineStr">
        <is>
          <t>Q3</t>
        </is>
      </c>
      <c r="E108" s="26" t="inlineStr">
        <is>
          <t>Noy Duany</t>
        </is>
      </c>
      <c r="F108" s="26" t="inlineStr">
        <is>
          <t>#1</t>
        </is>
      </c>
      <c r="G108" s="30" t="inlineStr">
        <is>
          <t>B</t>
        </is>
      </c>
      <c r="H108" s="26" t="inlineStr">
        <is>
          <t>linkedin</t>
        </is>
      </c>
      <c r="I108" s="28" t="inlineStr">
        <is>
          <t>What can they give — office hours, referrals into Hopper Security, mentoring? And what do they need from us right now?</t>
        </is>
      </c>
      <c r="J108" s="26" t="inlineStr"/>
      <c r="K108" s="26" t="inlineStr"/>
      <c r="L108" s="29" t="n"/>
      <c r="M108" s="29" t="n"/>
    </row>
    <row r="109" ht="30" customHeight="1">
      <c r="A109" s="25" t="n">
        <v>46475</v>
      </c>
      <c r="B109" s="26" t="inlineStr">
        <is>
          <t>Mon</t>
        </is>
      </c>
      <c r="C109" s="26" t="n">
        <v>29</v>
      </c>
      <c r="D109" s="26" t="inlineStr">
        <is>
          <t>Q3</t>
        </is>
      </c>
      <c r="E109" s="26" t="inlineStr">
        <is>
          <t>Mor Shemesh</t>
        </is>
      </c>
      <c r="F109" s="26" t="inlineStr">
        <is>
          <t>#2</t>
        </is>
      </c>
      <c r="G109" s="27" t="inlineStr">
        <is>
          <t>A</t>
        </is>
      </c>
      <c r="H109" s="26" t="inlineStr">
        <is>
          <t>phone</t>
        </is>
      </c>
      <c r="I109" s="28" t="inlineStr">
        <is>
          <t>Founding track — building this year? What is the blocker, is co-founder the gap, and who should they meet?</t>
        </is>
      </c>
      <c r="J109" s="26" t="inlineStr">
        <is>
          <t>+972507711998</t>
        </is>
      </c>
      <c r="K109" s="26" t="inlineStr">
        <is>
          <t>mor.m.shemesh@gmail.com</t>
        </is>
      </c>
      <c r="L109" s="29" t="n"/>
      <c r="M109" s="29" t="n"/>
    </row>
    <row r="110" ht="30" customHeight="1">
      <c r="A110" s="25" t="n">
        <v>46476</v>
      </c>
      <c r="B110" s="26" t="inlineStr">
        <is>
          <t>Tue</t>
        </is>
      </c>
      <c r="C110" s="26" t="n">
        <v>29</v>
      </c>
      <c r="D110" s="26" t="inlineStr">
        <is>
          <t>Q3</t>
        </is>
      </c>
      <c r="E110" s="26" t="inlineStr">
        <is>
          <t>Hillel Twersky</t>
        </is>
      </c>
      <c r="F110" s="26" t="inlineStr">
        <is>
          <t>#3</t>
        </is>
      </c>
      <c r="G110" s="31" t="inlineStr">
        <is>
          <t>C</t>
        </is>
      </c>
      <c r="H110" s="26" t="inlineStr">
        <is>
          <t>phone</t>
        </is>
      </c>
      <c r="I110" s="28" t="inlineStr">
        <is>
          <t>Stay current — still at Carefam (AI healthcare hiring, $10.5M raised)? What are they working on in ai-ml, and what would help?</t>
        </is>
      </c>
      <c r="J110" s="26" t="inlineStr">
        <is>
          <t>+972545258759</t>
        </is>
      </c>
      <c r="K110" s="26" t="inlineStr">
        <is>
          <t>hilleltwersky@gmail.com</t>
        </is>
      </c>
      <c r="L110" s="29" t="n"/>
      <c r="M110" s="29" t="n"/>
    </row>
    <row r="111" ht="30" customHeight="1">
      <c r="A111" s="25" t="n">
        <v>46481</v>
      </c>
      <c r="B111" s="26" t="inlineStr">
        <is>
          <t>Sun</t>
        </is>
      </c>
      <c r="C111" s="26" t="n">
        <v>30</v>
      </c>
      <c r="D111" s="26" t="inlineStr">
        <is>
          <t>Q3</t>
        </is>
      </c>
      <c r="E111" s="26" t="inlineStr">
        <is>
          <t>Ohad Amosy</t>
        </is>
      </c>
      <c r="F111" s="26" t="inlineStr">
        <is>
          <t>#1</t>
        </is>
      </c>
      <c r="G111" s="30" t="inlineStr">
        <is>
          <t>B</t>
        </is>
      </c>
      <c r="H111" s="26" t="inlineStr">
        <is>
          <t>linkedin</t>
        </is>
      </c>
      <c r="I111" s="28" t="inlineStr">
        <is>
          <t>What can they give — office hours, referrals, mentoring? And what do they need from us right now?</t>
        </is>
      </c>
      <c r="J111" s="26" t="inlineStr"/>
      <c r="K111" s="26" t="inlineStr"/>
      <c r="L111" s="29" t="n"/>
      <c r="M111" s="29" t="n"/>
    </row>
    <row r="112" ht="30" customHeight="1">
      <c r="A112" s="25" t="n">
        <v>46482</v>
      </c>
      <c r="B112" s="26" t="inlineStr">
        <is>
          <t>Mon</t>
        </is>
      </c>
      <c r="C112" s="26" t="n">
        <v>30</v>
      </c>
      <c r="D112" s="26" t="inlineStr">
        <is>
          <t>Q3</t>
        </is>
      </c>
      <c r="E112" s="26" t="inlineStr">
        <is>
          <t>Omer Hay</t>
        </is>
      </c>
      <c r="F112" s="26" t="inlineStr">
        <is>
          <t>#1</t>
        </is>
      </c>
      <c r="G112" s="30" t="inlineStr">
        <is>
          <t>B</t>
        </is>
      </c>
      <c r="H112" s="26" t="inlineStr">
        <is>
          <t>linkedin</t>
        </is>
      </c>
      <c r="I112" s="28" t="inlineStr">
        <is>
          <t>What can they give — office hours, referrals, mentoring? And what do they need from us right now?</t>
        </is>
      </c>
      <c r="J112" s="26" t="inlineStr"/>
      <c r="K112" s="26" t="inlineStr"/>
      <c r="L112" s="29" t="n"/>
      <c r="M112" s="29" t="n"/>
    </row>
    <row r="113" ht="30" customHeight="1">
      <c r="A113" s="25" t="n">
        <v>46483</v>
      </c>
      <c r="B113" s="26" t="inlineStr">
        <is>
          <t>Tue</t>
        </is>
      </c>
      <c r="C113" s="26" t="n">
        <v>30</v>
      </c>
      <c r="D113" s="26" t="inlineStr">
        <is>
          <t>Q3</t>
        </is>
      </c>
      <c r="E113" s="26" t="inlineStr">
        <is>
          <t>Roy Moshe</t>
        </is>
      </c>
      <c r="F113" s="26" t="inlineStr">
        <is>
          <t>#2</t>
        </is>
      </c>
      <c r="G113" s="27" t="inlineStr">
        <is>
          <t>A</t>
        </is>
      </c>
      <c r="H113" s="26" t="inlineStr">
        <is>
          <t>phone</t>
        </is>
      </c>
      <c r="I113" s="28" t="inlineStr">
        <is>
          <t>Founding track — building this year? What is the blocker, is co-founder the gap, and who should they meet?</t>
        </is>
      </c>
      <c r="J113" s="26" t="inlineStr">
        <is>
          <t>+972546777815</t>
        </is>
      </c>
      <c r="K113" s="26" t="inlineStr">
        <is>
          <t>roymoshe23@gmail.com</t>
        </is>
      </c>
      <c r="L113" s="29" t="n"/>
      <c r="M113" s="29" t="n"/>
    </row>
    <row r="114" ht="30" customHeight="1">
      <c r="A114" s="25" t="n">
        <v>46484</v>
      </c>
      <c r="B114" s="26" t="inlineStr">
        <is>
          <t>Wed</t>
        </is>
      </c>
      <c r="C114" s="26" t="n">
        <v>30</v>
      </c>
      <c r="D114" s="26" t="inlineStr">
        <is>
          <t>Q3</t>
        </is>
      </c>
      <c r="E114" s="26" t="inlineStr">
        <is>
          <t>Tomer Goren</t>
        </is>
      </c>
      <c r="F114" s="26" t="inlineStr">
        <is>
          <t>#2</t>
        </is>
      </c>
      <c r="G114" s="27" t="inlineStr">
        <is>
          <t>A</t>
        </is>
      </c>
      <c r="H114" s="26" t="inlineStr">
        <is>
          <t>phone</t>
        </is>
      </c>
      <c r="I114" s="28" t="inlineStr">
        <is>
          <t>Founding track — building this year? What is the blocker, is co-founder the gap, and who should they meet?</t>
        </is>
      </c>
      <c r="J114" s="26" t="inlineStr">
        <is>
          <t>+972544744575</t>
        </is>
      </c>
      <c r="K114" s="26" t="inlineStr">
        <is>
          <t>tomergoren99@gmail.com</t>
        </is>
      </c>
      <c r="L114" s="29" t="n"/>
      <c r="M114" s="29" t="n"/>
    </row>
    <row r="115" ht="30" customHeight="1">
      <c r="A115" s="25" t="n">
        <v>46488</v>
      </c>
      <c r="B115" s="26" t="inlineStr">
        <is>
          <t>Sun</t>
        </is>
      </c>
      <c r="C115" s="26" t="n">
        <v>31</v>
      </c>
      <c r="D115" s="26" t="inlineStr">
        <is>
          <t>Q3</t>
        </is>
      </c>
      <c r="E115" s="26" t="inlineStr">
        <is>
          <t>Rami Anati</t>
        </is>
      </c>
      <c r="F115" s="26" t="inlineStr">
        <is>
          <t>#1</t>
        </is>
      </c>
      <c r="G115" s="30" t="inlineStr">
        <is>
          <t>B</t>
        </is>
      </c>
      <c r="H115" s="26" t="inlineStr">
        <is>
          <t>linkedin</t>
        </is>
      </c>
      <c r="I115" s="28" t="inlineStr">
        <is>
          <t>What can they give — office hours, referrals, mentoring? And what do they need from us right now?</t>
        </is>
      </c>
      <c r="J115" s="26" t="inlineStr"/>
      <c r="K115" s="26" t="inlineStr"/>
      <c r="L115" s="29" t="n"/>
      <c r="M115" s="29" t="n"/>
    </row>
    <row r="116" ht="30" customHeight="1">
      <c r="A116" s="25" t="n">
        <v>46489</v>
      </c>
      <c r="B116" s="26" t="inlineStr">
        <is>
          <t>Mon</t>
        </is>
      </c>
      <c r="C116" s="26" t="n">
        <v>31</v>
      </c>
      <c r="D116" s="26" t="inlineStr">
        <is>
          <t>Q3</t>
        </is>
      </c>
      <c r="E116" s="26" t="inlineStr">
        <is>
          <t>Benny Getz</t>
        </is>
      </c>
      <c r="F116" s="26" t="inlineStr">
        <is>
          <t>#3</t>
        </is>
      </c>
      <c r="G116" s="27" t="inlineStr">
        <is>
          <t>A</t>
        </is>
      </c>
      <c r="H116" s="26" t="inlineStr">
        <is>
          <t>phone</t>
        </is>
      </c>
      <c r="I116" s="28" t="inlineStr">
        <is>
          <t>Node candidate — founded Predicta Med. What can they open for our alumni, and would they give office hours?</t>
        </is>
      </c>
      <c r="J116" s="26" t="inlineStr">
        <is>
          <t>+972545551000</t>
        </is>
      </c>
      <c r="K116" s="26" t="inlineStr">
        <is>
          <t>benny.getz@gmail.com</t>
        </is>
      </c>
      <c r="L116" s="29" t="n"/>
      <c r="M116" s="29" t="n"/>
    </row>
    <row r="117" ht="30" customHeight="1">
      <c r="A117" s="25" t="n">
        <v>46490</v>
      </c>
      <c r="B117" s="26" t="inlineStr">
        <is>
          <t>Tue</t>
        </is>
      </c>
      <c r="C117" s="26" t="n">
        <v>31</v>
      </c>
      <c r="D117" s="26" t="inlineStr">
        <is>
          <t>Q3</t>
        </is>
      </c>
      <c r="E117" s="26" t="inlineStr">
        <is>
          <t>Dolev Elbaz</t>
        </is>
      </c>
      <c r="F117" s="26" t="inlineStr">
        <is>
          <t>#3</t>
        </is>
      </c>
      <c r="G117" s="27" t="inlineStr">
        <is>
          <t>A</t>
        </is>
      </c>
      <c r="H117" s="26" t="inlineStr">
        <is>
          <t>phone</t>
        </is>
      </c>
      <c r="I117" s="28" t="inlineStr">
        <is>
          <t>Node candidate — founded Breeze Security. What can they open for our alumni, and would they give office hours?</t>
        </is>
      </c>
      <c r="J117" s="26" t="inlineStr">
        <is>
          <t>+972525677675</t>
        </is>
      </c>
      <c r="K117" s="26" t="inlineStr">
        <is>
          <t>dolevelb@gmail.com</t>
        </is>
      </c>
      <c r="L117" s="29" t="n"/>
      <c r="M117" s="29" t="n"/>
    </row>
    <row r="118" ht="30" customHeight="1">
      <c r="A118" s="25" t="n">
        <v>46491</v>
      </c>
      <c r="B118" s="26" t="inlineStr">
        <is>
          <t>Wed</t>
        </is>
      </c>
      <c r="C118" s="26" t="n">
        <v>31</v>
      </c>
      <c r="D118" s="26" t="inlineStr">
        <is>
          <t>Q3</t>
        </is>
      </c>
      <c r="E118" s="26" t="inlineStr">
        <is>
          <t>Ido Ben Tsion</t>
        </is>
      </c>
      <c r="F118" s="26" t="inlineStr">
        <is>
          <t>#3</t>
        </is>
      </c>
      <c r="G118" s="31" t="inlineStr">
        <is>
          <t>C</t>
        </is>
      </c>
      <c r="H118" s="26" t="inlineStr">
        <is>
          <t>phone</t>
        </is>
      </c>
      <c r="I118" s="28" t="inlineStr">
        <is>
          <t>Stay current — still at Toga Networks-a Huawei Company? What are they working on, and what would help?</t>
        </is>
      </c>
      <c r="J118" s="26" t="inlineStr">
        <is>
          <t>+972523322722</t>
        </is>
      </c>
      <c r="K118" s="26" t="inlineStr">
        <is>
          <t>ibentsion@gmail.com</t>
        </is>
      </c>
      <c r="L118" s="29" t="n"/>
      <c r="M118" s="29" t="n"/>
    </row>
    <row r="119" ht="30" customHeight="1">
      <c r="A119" s="25" t="n">
        <v>46495</v>
      </c>
      <c r="B119" s="26" t="inlineStr">
        <is>
          <t>Sun</t>
        </is>
      </c>
      <c r="C119" s="26" t="n">
        <v>32</v>
      </c>
      <c r="D119" s="26" t="inlineStr">
        <is>
          <t>Q3</t>
        </is>
      </c>
      <c r="E119" s="26" t="inlineStr">
        <is>
          <t>Roee Yaron</t>
        </is>
      </c>
      <c r="F119" s="26" t="inlineStr">
        <is>
          <t>#1</t>
        </is>
      </c>
      <c r="G119" s="30" t="inlineStr">
        <is>
          <t>B</t>
        </is>
      </c>
      <c r="H119" s="26" t="inlineStr">
        <is>
          <t>linkedin</t>
        </is>
      </c>
      <c r="I119" s="28" t="inlineStr">
        <is>
          <t>What can they give — office hours, referrals into Ministry of Defense, mentoring? And what do they need from us right now?</t>
        </is>
      </c>
      <c r="J119" s="26" t="inlineStr"/>
      <c r="K119" s="26" t="inlineStr"/>
      <c r="L119" s="29" t="n"/>
      <c r="M119" s="29" t="n"/>
    </row>
    <row r="120" ht="30" customHeight="1">
      <c r="A120" s="25" t="n">
        <v>46496</v>
      </c>
      <c r="B120" s="26" t="inlineStr">
        <is>
          <t>Mon</t>
        </is>
      </c>
      <c r="C120" s="26" t="n">
        <v>32</v>
      </c>
      <c r="D120" s="26" t="inlineStr">
        <is>
          <t>Q3</t>
        </is>
      </c>
      <c r="E120" s="26" t="inlineStr">
        <is>
          <t>Nadav Claude Cohen</t>
        </is>
      </c>
      <c r="F120" s="26" t="inlineStr">
        <is>
          <t>#3</t>
        </is>
      </c>
      <c r="G120" s="27" t="inlineStr">
        <is>
          <t>A</t>
        </is>
      </c>
      <c r="H120" s="26" t="inlineStr">
        <is>
          <t>phone</t>
        </is>
      </c>
      <c r="I120" s="28" t="inlineStr">
        <is>
          <t>Founding track — building this year? What is the blocker, is co-founder the gap, and who should they meet?</t>
        </is>
      </c>
      <c r="J120" s="26" t="inlineStr">
        <is>
          <t>+972543134989</t>
        </is>
      </c>
      <c r="K120" s="26" t="inlineStr">
        <is>
          <t>nadav.claude.cohen@gmail.com</t>
        </is>
      </c>
      <c r="L120" s="29" t="n"/>
      <c r="M120" s="29" t="n"/>
    </row>
    <row r="121" ht="30" customHeight="1">
      <c r="A121" s="25" t="n">
        <v>46497</v>
      </c>
      <c r="B121" s="26" t="inlineStr">
        <is>
          <t>Tue</t>
        </is>
      </c>
      <c r="C121" s="26" t="n">
        <v>32</v>
      </c>
      <c r="D121" s="26" t="inlineStr">
        <is>
          <t>Q3</t>
        </is>
      </c>
      <c r="E121" s="26" t="inlineStr">
        <is>
          <t>Oren Fine</t>
        </is>
      </c>
      <c r="F121" s="26" t="inlineStr">
        <is>
          <t>#3</t>
        </is>
      </c>
      <c r="G121" s="27" t="inlineStr">
        <is>
          <t>A</t>
        </is>
      </c>
      <c r="H121" s="26" t="inlineStr">
        <is>
          <t>phone</t>
        </is>
      </c>
      <c r="I121" s="28" t="inlineStr">
        <is>
          <t>Founding track — building this year? What is the blocker, is co-founder the gap, and who should they meet?</t>
        </is>
      </c>
      <c r="J121" s="26" t="inlineStr">
        <is>
          <t>+972586392129</t>
        </is>
      </c>
      <c r="K121" s="26" t="inlineStr">
        <is>
          <t>orenfine@gmail.com</t>
        </is>
      </c>
      <c r="L121" s="29" t="n"/>
      <c r="M121" s="29" t="n"/>
    </row>
    <row r="122" ht="30" customHeight="1">
      <c r="A122" s="25" t="n">
        <v>46498</v>
      </c>
      <c r="B122" s="26" t="inlineStr">
        <is>
          <t>Wed</t>
        </is>
      </c>
      <c r="C122" s="26" t="n">
        <v>32</v>
      </c>
      <c r="D122" s="26" t="inlineStr">
        <is>
          <t>Q3</t>
        </is>
      </c>
      <c r="E122" s="26" t="inlineStr">
        <is>
          <t>Ilan Godik</t>
        </is>
      </c>
      <c r="F122" s="26" t="inlineStr">
        <is>
          <t>#3</t>
        </is>
      </c>
      <c r="G122" s="31" t="inlineStr">
        <is>
          <t>C</t>
        </is>
      </c>
      <c r="H122" s="26" t="inlineStr">
        <is>
          <t>phone</t>
        </is>
      </c>
      <c r="I122" s="28" t="inlineStr">
        <is>
          <t>Stay current — what are they working on now, and what would help?</t>
        </is>
      </c>
      <c r="J122" s="26" t="inlineStr">
        <is>
          <t>+972503028929</t>
        </is>
      </c>
      <c r="K122" s="26" t="inlineStr">
        <is>
          <t>ilan3580@gmail.com</t>
        </is>
      </c>
      <c r="L122" s="29" t="n"/>
      <c r="M122" s="29" t="n"/>
    </row>
    <row r="123" ht="30" customHeight="1">
      <c r="A123" s="25" t="n">
        <v>46502</v>
      </c>
      <c r="B123" s="26" t="inlineStr">
        <is>
          <t>Sun</t>
        </is>
      </c>
      <c r="C123" s="26" t="n">
        <v>33</v>
      </c>
      <c r="D123" s="26" t="inlineStr">
        <is>
          <t>Q3</t>
        </is>
      </c>
      <c r="E123" s="26" t="inlineStr">
        <is>
          <t>Ronen Tur</t>
        </is>
      </c>
      <c r="F123" s="26" t="inlineStr">
        <is>
          <t>#1</t>
        </is>
      </c>
      <c r="G123" s="30" t="inlineStr">
        <is>
          <t>B</t>
        </is>
      </c>
      <c r="H123" s="26" t="inlineStr">
        <is>
          <t>linkedin</t>
        </is>
      </c>
      <c r="I123" s="28" t="inlineStr">
        <is>
          <t>What can they give — office hours, referrals, mentoring? And what do they need from us right now?</t>
        </is>
      </c>
      <c r="J123" s="26" t="inlineStr"/>
      <c r="K123" s="26" t="inlineStr"/>
      <c r="L123" s="29" t="n"/>
      <c r="M123" s="29" t="n"/>
    </row>
    <row r="124" ht="30" customHeight="1">
      <c r="A124" s="25" t="n">
        <v>46503</v>
      </c>
      <c r="B124" s="26" t="inlineStr">
        <is>
          <t>Mon</t>
        </is>
      </c>
      <c r="C124" s="26" t="n">
        <v>33</v>
      </c>
      <c r="D124" s="26" t="inlineStr">
        <is>
          <t>Q3</t>
        </is>
      </c>
      <c r="E124" s="26" t="inlineStr">
        <is>
          <t>Shachar Cohen</t>
        </is>
      </c>
      <c r="F124" s="26" t="inlineStr">
        <is>
          <t>#1</t>
        </is>
      </c>
      <c r="G124" s="30" t="inlineStr">
        <is>
          <t>B</t>
        </is>
      </c>
      <c r="H124" s="26" t="inlineStr">
        <is>
          <t>linkedin</t>
        </is>
      </c>
      <c r="I124" s="28" t="inlineStr">
        <is>
          <t>What can they give — office hours, referrals, mentoring? And what do they need from us right now?</t>
        </is>
      </c>
      <c r="J124" s="26" t="inlineStr"/>
      <c r="K124" s="26" t="inlineStr"/>
      <c r="L124" s="29" t="n"/>
      <c r="M124" s="29" t="n"/>
    </row>
    <row r="125" ht="30" customHeight="1">
      <c r="A125" s="25" t="n">
        <v>46504</v>
      </c>
      <c r="B125" s="26" t="inlineStr">
        <is>
          <t>Tue</t>
        </is>
      </c>
      <c r="C125" s="26" t="n">
        <v>33</v>
      </c>
      <c r="D125" s="26" t="inlineStr">
        <is>
          <t>Q3</t>
        </is>
      </c>
      <c r="E125" s="26" t="inlineStr">
        <is>
          <t>Shlomo Lahav</t>
        </is>
      </c>
      <c r="F125" s="26" t="inlineStr">
        <is>
          <t>#3</t>
        </is>
      </c>
      <c r="G125" s="27" t="inlineStr">
        <is>
          <t>A</t>
        </is>
      </c>
      <c r="H125" s="26" t="inlineStr">
        <is>
          <t>phone</t>
        </is>
      </c>
      <c r="I125" s="28" t="inlineStr">
        <is>
          <t>Node candidate — founded TrueNorth Systems. What can they open for our alumni, and would they give office hours?</t>
        </is>
      </c>
      <c r="J125" s="26" t="inlineStr">
        <is>
          <t>+972545330111</t>
        </is>
      </c>
      <c r="K125" s="26" t="inlineStr">
        <is>
          <t>shlomo@lahavs.com</t>
        </is>
      </c>
      <c r="L125" s="29" t="n"/>
      <c r="M125" s="29" t="n"/>
    </row>
    <row r="126" ht="30" customHeight="1">
      <c r="A126" s="25" t="n">
        <v>46509</v>
      </c>
      <c r="B126" s="26" t="inlineStr">
        <is>
          <t>Sun</t>
        </is>
      </c>
      <c r="C126" s="26" t="n">
        <v>34</v>
      </c>
      <c r="D126" s="26" t="inlineStr">
        <is>
          <t>Q3</t>
        </is>
      </c>
      <c r="E126" s="26" t="inlineStr">
        <is>
          <t>Assaf Monsa</t>
        </is>
      </c>
      <c r="F126" s="26" t="inlineStr">
        <is>
          <t>#1</t>
        </is>
      </c>
      <c r="G126" s="27" t="inlineStr">
        <is>
          <t>A</t>
        </is>
      </c>
      <c r="H126" s="26" t="inlineStr">
        <is>
          <t>phone</t>
        </is>
      </c>
      <c r="I126" s="28" t="inlineStr">
        <is>
          <t>Node candidate. What can they open for our alumni, and would they give office hours?</t>
        </is>
      </c>
      <c r="J126" s="26" t="inlineStr">
        <is>
          <t>+972544319991</t>
        </is>
      </c>
      <c r="K126" s="26" t="inlineStr">
        <is>
          <t>assafmonsa@gmail.com</t>
        </is>
      </c>
      <c r="L126" s="29" t="n"/>
      <c r="M126" s="29" t="n"/>
    </row>
    <row r="127" ht="30" customHeight="1">
      <c r="A127" s="25" t="n">
        <v>46510</v>
      </c>
      <c r="B127" s="26" t="inlineStr">
        <is>
          <t>Mon</t>
        </is>
      </c>
      <c r="C127" s="26" t="n">
        <v>34</v>
      </c>
      <c r="D127" s="26" t="inlineStr">
        <is>
          <t>Q3</t>
        </is>
      </c>
      <c r="E127" s="26" t="inlineStr">
        <is>
          <t>Shai Elroy</t>
        </is>
      </c>
      <c r="F127" s="26" t="inlineStr">
        <is>
          <t>#1</t>
        </is>
      </c>
      <c r="G127" s="30" t="inlineStr">
        <is>
          <t>B</t>
        </is>
      </c>
      <c r="H127" s="26" t="inlineStr">
        <is>
          <t>linkedin</t>
        </is>
      </c>
      <c r="I127" s="28" t="inlineStr">
        <is>
          <t>What can they give — office hours, referrals, mentoring? And what do they need from us right now?</t>
        </is>
      </c>
      <c r="J127" s="26" t="inlineStr"/>
      <c r="K127" s="26" t="inlineStr"/>
      <c r="L127" s="29" t="n"/>
      <c r="M127" s="29" t="n"/>
    </row>
    <row r="128" ht="30" customHeight="1">
      <c r="A128" s="25" t="n">
        <v>46511</v>
      </c>
      <c r="B128" s="26" t="inlineStr">
        <is>
          <t>Tue</t>
        </is>
      </c>
      <c r="C128" s="26" t="n">
        <v>34</v>
      </c>
      <c r="D128" s="26" t="inlineStr">
        <is>
          <t>Q3</t>
        </is>
      </c>
      <c r="E128" s="26" t="inlineStr">
        <is>
          <t>Yaniv Shaked</t>
        </is>
      </c>
      <c r="F128" s="26" t="inlineStr">
        <is>
          <t>#3</t>
        </is>
      </c>
      <c r="G128" s="27" t="inlineStr">
        <is>
          <t>A</t>
        </is>
      </c>
      <c r="H128" s="26" t="inlineStr">
        <is>
          <t>phone</t>
        </is>
      </c>
      <c r="I128" s="28" t="inlineStr">
        <is>
          <t>Founding track — building this year? What is the blocker, is co-founder the gap, and who should they meet?</t>
        </is>
      </c>
      <c r="J128" s="26" t="inlineStr">
        <is>
          <t>+972525621097</t>
        </is>
      </c>
      <c r="K128" s="26" t="inlineStr">
        <is>
          <t>yanivsh002@gmail.com</t>
        </is>
      </c>
      <c r="L128" s="29" t="n"/>
      <c r="M128" s="29" t="n"/>
    </row>
    <row r="129" ht="30" customHeight="1">
      <c r="A129" s="25" t="n">
        <v>46512</v>
      </c>
      <c r="B129" s="26" t="inlineStr">
        <is>
          <t>Wed</t>
        </is>
      </c>
      <c r="C129" s="26" t="n">
        <v>34</v>
      </c>
      <c r="D129" s="26" t="inlineStr">
        <is>
          <t>Q3</t>
        </is>
      </c>
      <c r="E129" s="26" t="inlineStr">
        <is>
          <t>Itzhak Bernstein</t>
        </is>
      </c>
      <c r="F129" s="26" t="inlineStr">
        <is>
          <t>#3</t>
        </is>
      </c>
      <c r="G129" s="31" t="inlineStr">
        <is>
          <t>C</t>
        </is>
      </c>
      <c r="H129" s="26" t="inlineStr">
        <is>
          <t>phone</t>
        </is>
      </c>
      <c r="I129" s="28" t="inlineStr">
        <is>
          <t>Stay current — what are they working on now, and what would help?</t>
        </is>
      </c>
      <c r="J129" s="26" t="inlineStr">
        <is>
          <t>+972529280436</t>
        </is>
      </c>
      <c r="K129" s="26" t="inlineStr">
        <is>
          <t>yitzhokt2@gmail.com</t>
        </is>
      </c>
      <c r="L129" s="29" t="n"/>
      <c r="M129" s="29" t="n"/>
    </row>
    <row r="130" ht="30" customHeight="1">
      <c r="A130" s="25" t="n">
        <v>46516</v>
      </c>
      <c r="B130" s="26" t="inlineStr">
        <is>
          <t>Sun</t>
        </is>
      </c>
      <c r="C130" s="26" t="n">
        <v>35</v>
      </c>
      <c r="D130" s="26" t="inlineStr">
        <is>
          <t>Q3</t>
        </is>
      </c>
      <c r="E130" s="26" t="inlineStr">
        <is>
          <t>Danny Grander</t>
        </is>
      </c>
      <c r="F130" s="26" t="inlineStr">
        <is>
          <t>#1</t>
        </is>
      </c>
      <c r="G130" s="27" t="inlineStr">
        <is>
          <t>A</t>
        </is>
      </c>
      <c r="H130" s="26" t="inlineStr">
        <is>
          <t>phone</t>
        </is>
      </c>
      <c r="I130" s="28" t="inlineStr">
        <is>
          <t>Node candidate — founded Snyk. What can they open for our alumni, and would they give office hours?</t>
        </is>
      </c>
      <c r="J130" s="26" t="inlineStr">
        <is>
          <t>+972507616594</t>
        </is>
      </c>
      <c r="K130" s="26" t="inlineStr">
        <is>
          <t>danny.grander@gmail.com</t>
        </is>
      </c>
      <c r="L130" s="29" t="n"/>
      <c r="M130" s="29" t="n"/>
    </row>
    <row r="131" ht="30" customHeight="1">
      <c r="A131" s="25" t="n">
        <v>46517</v>
      </c>
      <c r="B131" s="26" t="inlineStr">
        <is>
          <t>Mon</t>
        </is>
      </c>
      <c r="C131" s="26" t="n">
        <v>35</v>
      </c>
      <c r="D131" s="26" t="inlineStr">
        <is>
          <t>Q3</t>
        </is>
      </c>
      <c r="E131" s="26" t="inlineStr">
        <is>
          <t>Aviel Zecharia</t>
        </is>
      </c>
      <c r="F131" s="26" t="inlineStr">
        <is>
          <t>#2</t>
        </is>
      </c>
      <c r="G131" s="30" t="inlineStr">
        <is>
          <t>B</t>
        </is>
      </c>
      <c r="H131" s="26" t="inlineStr">
        <is>
          <t>phone</t>
        </is>
      </c>
      <c r="I131" s="28" t="inlineStr">
        <is>
          <t>What can they give — office hours, referrals into Palo Alto Networks, mentoring? And what do they need from us right now?</t>
        </is>
      </c>
      <c r="J131" s="26" t="inlineStr">
        <is>
          <t>+972547260058</t>
        </is>
      </c>
      <c r="K131" s="26" t="inlineStr">
        <is>
          <t>avielz1199@gmail.com</t>
        </is>
      </c>
      <c r="L131" s="29" t="n"/>
      <c r="M131" s="29" t="n"/>
    </row>
    <row r="132" ht="30" customHeight="1">
      <c r="A132" s="25" t="n">
        <v>46518</v>
      </c>
      <c r="B132" s="26" t="inlineStr">
        <is>
          <t>Tue</t>
        </is>
      </c>
      <c r="C132" s="26" t="n">
        <v>35</v>
      </c>
      <c r="D132" s="26" t="inlineStr">
        <is>
          <t>Q3</t>
        </is>
      </c>
      <c r="E132" s="26" t="inlineStr">
        <is>
          <t>Eyal Horowicz</t>
        </is>
      </c>
      <c r="F132" s="26" t="inlineStr">
        <is>
          <t>#2</t>
        </is>
      </c>
      <c r="G132" s="30" t="inlineStr">
        <is>
          <t>B</t>
        </is>
      </c>
      <c r="H132" s="26" t="inlineStr">
        <is>
          <t>phone</t>
        </is>
      </c>
      <c r="I132" s="28" t="inlineStr">
        <is>
          <t>What can they give — office hours, referrals into Claroty (DS Team Leader per roster), mentoring? And what do they need from us right now?</t>
        </is>
      </c>
      <c r="J132" s="26" t="inlineStr">
        <is>
          <t>+972506228892</t>
        </is>
      </c>
      <c r="K132" s="26" t="inlineStr">
        <is>
          <t>eyalhoro6@gmail.com</t>
        </is>
      </c>
      <c r="L132" s="29" t="n"/>
      <c r="M132" s="29" t="n"/>
    </row>
    <row r="133" ht="30" customHeight="1">
      <c r="A133" s="25" t="n">
        <v>46519</v>
      </c>
      <c r="B133" s="26" t="inlineStr">
        <is>
          <t>Wed</t>
        </is>
      </c>
      <c r="C133" s="26" t="n">
        <v>35</v>
      </c>
      <c r="D133" s="26" t="inlineStr">
        <is>
          <t>Q3</t>
        </is>
      </c>
      <c r="E133" s="26" t="inlineStr">
        <is>
          <t>Maya Kleinstein</t>
        </is>
      </c>
      <c r="F133" s="26" t="inlineStr">
        <is>
          <t>#3</t>
        </is>
      </c>
      <c r="G133" s="31" t="inlineStr">
        <is>
          <t>C</t>
        </is>
      </c>
      <c r="H133" s="26" t="inlineStr">
        <is>
          <t>phone</t>
        </is>
      </c>
      <c r="I133" s="28" t="inlineStr">
        <is>
          <t>Roll-up — no verified role on file. What are they doing now, where are they heading, and what do they need?</t>
        </is>
      </c>
      <c r="J133" s="26" t="inlineStr">
        <is>
          <t>+972552242152</t>
        </is>
      </c>
      <c r="K133" s="26" t="inlineStr">
        <is>
          <t>mayak144@gmail.com</t>
        </is>
      </c>
      <c r="L133" s="29" t="n"/>
      <c r="M133" s="29" t="n"/>
    </row>
    <row r="134" ht="30" customHeight="1">
      <c r="A134" s="25" t="n">
        <v>46523</v>
      </c>
      <c r="B134" s="26" t="inlineStr">
        <is>
          <t>Sun</t>
        </is>
      </c>
      <c r="C134" s="26" t="n">
        <v>36</v>
      </c>
      <c r="D134" s="26" t="inlineStr">
        <is>
          <t>Q3</t>
        </is>
      </c>
      <c r="E134" s="26" t="inlineStr">
        <is>
          <t>Eyal Kraft</t>
        </is>
      </c>
      <c r="F134" s="26" t="inlineStr">
        <is>
          <t>#1</t>
        </is>
      </c>
      <c r="G134" s="27" t="inlineStr">
        <is>
          <t>A</t>
        </is>
      </c>
      <c r="H134" s="26" t="inlineStr">
        <is>
          <t>linkedin</t>
        </is>
      </c>
      <c r="I134" s="28" t="inlineStr">
        <is>
          <t>Founding track — building this year? What is the blocker, is co-founder the gap, and who should they meet?</t>
        </is>
      </c>
      <c r="J134" s="26" t="inlineStr"/>
      <c r="K134" s="26" t="inlineStr"/>
      <c r="L134" s="29" t="n"/>
      <c r="M134" s="29" t="n"/>
    </row>
    <row r="135" ht="30" customHeight="1">
      <c r="A135" s="25" t="n">
        <v>46524</v>
      </c>
      <c r="B135" s="26" t="inlineStr">
        <is>
          <t>Mon</t>
        </is>
      </c>
      <c r="C135" s="26" t="n">
        <v>36</v>
      </c>
      <c r="D135" s="26" t="inlineStr">
        <is>
          <t>Q3</t>
        </is>
      </c>
      <c r="E135" s="26" t="inlineStr">
        <is>
          <t>Inbal Beracha</t>
        </is>
      </c>
      <c r="F135" s="26" t="inlineStr">
        <is>
          <t>#1</t>
        </is>
      </c>
      <c r="G135" s="27" t="inlineStr">
        <is>
          <t>A</t>
        </is>
      </c>
      <c r="H135" s="26" t="inlineStr">
        <is>
          <t>linkedin</t>
        </is>
      </c>
      <c r="I135" s="28" t="inlineStr">
        <is>
          <t>Founding track — building this year? What is the blocker, is co-founder the gap, and who should they meet?</t>
        </is>
      </c>
      <c r="J135" s="26" t="inlineStr"/>
      <c r="K135" s="26" t="inlineStr"/>
      <c r="L135" s="29" t="n"/>
      <c r="M135" s="29" t="n"/>
    </row>
    <row r="136" ht="30" customHeight="1">
      <c r="A136" s="25" t="n">
        <v>46525</v>
      </c>
      <c r="B136" s="26" t="inlineStr">
        <is>
          <t>Tue</t>
        </is>
      </c>
      <c r="C136" s="26" t="n">
        <v>36</v>
      </c>
      <c r="D136" s="26" t="inlineStr">
        <is>
          <t>Q3</t>
        </is>
      </c>
      <c r="E136" s="26" t="inlineStr">
        <is>
          <t>Gil Raytan</t>
        </is>
      </c>
      <c r="F136" s="26" t="inlineStr">
        <is>
          <t>#2</t>
        </is>
      </c>
      <c r="G136" s="30" t="inlineStr">
        <is>
          <t>B</t>
        </is>
      </c>
      <c r="H136" s="26" t="inlineStr">
        <is>
          <t>phone</t>
        </is>
      </c>
      <c r="I136" s="28" t="inlineStr">
        <is>
          <t>What can they give — office hours, referrals into Remitly (AI/ML), mentoring? And what do they need from us right now?</t>
        </is>
      </c>
      <c r="J136" s="26" t="inlineStr">
        <is>
          <t>+972544322242</t>
        </is>
      </c>
      <c r="K136" s="26" t="inlineStr">
        <is>
          <t>gil.raytan@gmail.com</t>
        </is>
      </c>
      <c r="L136" s="29" t="n"/>
      <c r="M136" s="29" t="n"/>
    </row>
    <row r="137" ht="30" customHeight="1">
      <c r="A137" s="25" t="n">
        <v>46526</v>
      </c>
      <c r="B137" s="26" t="inlineStr">
        <is>
          <t>Wed</t>
        </is>
      </c>
      <c r="C137" s="26" t="n">
        <v>36</v>
      </c>
      <c r="D137" s="26" t="inlineStr">
        <is>
          <t>Q3</t>
        </is>
      </c>
      <c r="E137" s="26" t="inlineStr">
        <is>
          <t>Ido Kazma</t>
        </is>
      </c>
      <c r="F137" s="26" t="inlineStr">
        <is>
          <t>#2</t>
        </is>
      </c>
      <c r="G137" s="30" t="inlineStr">
        <is>
          <t>B</t>
        </is>
      </c>
      <c r="H137" s="26" t="inlineStr">
        <is>
          <t>phone</t>
        </is>
      </c>
      <c r="I137" s="28" t="inlineStr">
        <is>
          <t>What can they give — office hours, referrals into Q.ai, mentoring? And what do they need from us right now?</t>
        </is>
      </c>
      <c r="J137" s="26" t="inlineStr">
        <is>
          <t>+972528584131</t>
        </is>
      </c>
      <c r="K137" s="26" t="inlineStr">
        <is>
          <t>idokazma@gmail.com</t>
        </is>
      </c>
      <c r="L137" s="29" t="n"/>
      <c r="M137" s="29" t="n"/>
    </row>
    <row r="138" ht="30" customHeight="1">
      <c r="A138" s="25" t="n">
        <v>46530</v>
      </c>
      <c r="B138" s="26" t="inlineStr">
        <is>
          <t>Sun</t>
        </is>
      </c>
      <c r="C138" s="26" t="n">
        <v>37</v>
      </c>
      <c r="D138" s="26" t="inlineStr">
        <is>
          <t>Q3</t>
        </is>
      </c>
      <c r="E138" s="26" t="inlineStr">
        <is>
          <t>Meir Adest</t>
        </is>
      </c>
      <c r="F138" s="26" t="inlineStr">
        <is>
          <t>#1</t>
        </is>
      </c>
      <c r="G138" s="27" t="inlineStr">
        <is>
          <t>A</t>
        </is>
      </c>
      <c r="H138" s="26" t="inlineStr">
        <is>
          <t>linkedin</t>
        </is>
      </c>
      <c r="I138" s="28" t="inlineStr">
        <is>
          <t>Node candidate. What can they open for our alumni, and would they give office hours?</t>
        </is>
      </c>
      <c r="J138" s="26" t="inlineStr"/>
      <c r="K138" s="26" t="inlineStr"/>
      <c r="L138" s="29" t="n"/>
      <c r="M138" s="29" t="n"/>
    </row>
    <row r="139" ht="30" customHeight="1">
      <c r="A139" s="25" t="n">
        <v>46531</v>
      </c>
      <c r="B139" s="26" t="inlineStr">
        <is>
          <t>Mon</t>
        </is>
      </c>
      <c r="C139" s="26" t="n">
        <v>37</v>
      </c>
      <c r="D139" s="26" t="inlineStr">
        <is>
          <t>Q3</t>
        </is>
      </c>
      <c r="E139" s="26" t="inlineStr">
        <is>
          <t>Michael Kellner</t>
        </is>
      </c>
      <c r="F139" s="26" t="inlineStr">
        <is>
          <t>#1</t>
        </is>
      </c>
      <c r="G139" s="27" t="inlineStr">
        <is>
          <t>A</t>
        </is>
      </c>
      <c r="H139" s="26" t="inlineStr">
        <is>
          <t>phone</t>
        </is>
      </c>
      <c r="I139" s="28" t="inlineStr">
        <is>
          <t>Node candidate — founded SendBlocks. What can they open for our alumni, and would they give office hours?</t>
        </is>
      </c>
      <c r="J139" s="26" t="inlineStr">
        <is>
          <t>+972545311213</t>
        </is>
      </c>
      <c r="K139" s="26" t="inlineStr">
        <is>
          <t>mike53il@gmail.com</t>
        </is>
      </c>
      <c r="L139" s="29" t="n"/>
      <c r="M139" s="29" t="n"/>
    </row>
    <row r="140" ht="30" customHeight="1">
      <c r="A140" s="25" t="n">
        <v>46532</v>
      </c>
      <c r="B140" s="26" t="inlineStr">
        <is>
          <t>Tue</t>
        </is>
      </c>
      <c r="C140" s="26" t="n">
        <v>37</v>
      </c>
      <c r="D140" s="26" t="inlineStr">
        <is>
          <t>Q3</t>
        </is>
      </c>
      <c r="E140" s="26" t="inlineStr">
        <is>
          <t>Ilan Voronel</t>
        </is>
      </c>
      <c r="F140" s="26" t="inlineStr">
        <is>
          <t>#2</t>
        </is>
      </c>
      <c r="G140" s="30" t="inlineStr">
        <is>
          <t>B</t>
        </is>
      </c>
      <c r="H140" s="26" t="inlineStr">
        <is>
          <t>phone</t>
        </is>
      </c>
      <c r="I140" s="28" t="inlineStr">
        <is>
          <t>What can they give — office hours, referrals into Glassbox, mentoring? And what do they need from us right now?</t>
        </is>
      </c>
      <c r="J140" s="26" t="inlineStr">
        <is>
          <t>+972547397052</t>
        </is>
      </c>
      <c r="K140" s="26" t="inlineStr">
        <is>
          <t>ilan.voronel@gmail.com</t>
        </is>
      </c>
      <c r="L140" s="29" t="n"/>
      <c r="M140" s="29" t="n"/>
    </row>
    <row r="141" ht="30" customHeight="1">
      <c r="A141" s="25" t="n">
        <v>46533</v>
      </c>
      <c r="B141" s="26" t="inlineStr">
        <is>
          <t>Wed</t>
        </is>
      </c>
      <c r="C141" s="26" t="n">
        <v>37</v>
      </c>
      <c r="D141" s="26" t="inlineStr">
        <is>
          <t>Q3</t>
        </is>
      </c>
      <c r="E141" s="26" t="inlineStr">
        <is>
          <t>Maya Naveh</t>
        </is>
      </c>
      <c r="F141" s="26" t="inlineStr">
        <is>
          <t>#3</t>
        </is>
      </c>
      <c r="G141" s="31" t="inlineStr">
        <is>
          <t>C</t>
        </is>
      </c>
      <c r="H141" s="26" t="inlineStr">
        <is>
          <t>phone</t>
        </is>
      </c>
      <c r="I141" s="28" t="inlineStr">
        <is>
          <t>Roll-up — no verified role on file. What are they doing now, where are they heading, and what do they need?</t>
        </is>
      </c>
      <c r="J141" s="26" t="inlineStr">
        <is>
          <t>+972504291882</t>
        </is>
      </c>
      <c r="K141" s="26" t="inlineStr">
        <is>
          <t>maya.naveh.40@gmail.com</t>
        </is>
      </c>
      <c r="L141" s="29" t="n"/>
      <c r="M141" s="29" t="n"/>
    </row>
    <row r="142" ht="30" customHeight="1">
      <c r="A142" s="25" t="n">
        <v>46537</v>
      </c>
      <c r="B142" s="26" t="inlineStr">
        <is>
          <t>Sun</t>
        </is>
      </c>
      <c r="C142" s="26" t="n">
        <v>38</v>
      </c>
      <c r="D142" s="26" t="inlineStr">
        <is>
          <t>Q3</t>
        </is>
      </c>
      <c r="E142" s="26" t="inlineStr">
        <is>
          <t>Uri Shaked</t>
        </is>
      </c>
      <c r="F142" s="26" t="inlineStr">
        <is>
          <t>#1</t>
        </is>
      </c>
      <c r="G142" s="27" t="inlineStr">
        <is>
          <t>A</t>
        </is>
      </c>
      <c r="H142" s="26" t="inlineStr">
        <is>
          <t>linkedin</t>
        </is>
      </c>
      <c r="I142" s="28" t="inlineStr">
        <is>
          <t>Node candidate. What can they open for our alumni, and would they give office hours?</t>
        </is>
      </c>
      <c r="J142" s="26" t="inlineStr"/>
      <c r="K142" s="26" t="inlineStr"/>
      <c r="L142" s="29" t="n"/>
      <c r="M142" s="29" t="n"/>
    </row>
    <row r="143" ht="30" customHeight="1">
      <c r="A143" s="25" t="n">
        <v>46538</v>
      </c>
      <c r="B143" s="26" t="inlineStr">
        <is>
          <t>Mon</t>
        </is>
      </c>
      <c r="C143" s="26" t="n">
        <v>38</v>
      </c>
      <c r="D143" s="26" t="inlineStr">
        <is>
          <t>Q3</t>
        </is>
      </c>
      <c r="E143" s="26" t="inlineStr">
        <is>
          <t>Michael Zuzovski</t>
        </is>
      </c>
      <c r="F143" s="26" t="inlineStr">
        <is>
          <t>#2</t>
        </is>
      </c>
      <c r="G143" s="30" t="inlineStr">
        <is>
          <t>B</t>
        </is>
      </c>
      <c r="H143" s="26" t="inlineStr">
        <is>
          <t>phone</t>
        </is>
      </c>
      <c r="I143" s="28" t="inlineStr">
        <is>
          <t>What can they give — office hours, referrals into TAU (ex-Amazon), mentoring? And what do they need from us right now?</t>
        </is>
      </c>
      <c r="J143" s="26" t="inlineStr">
        <is>
          <t>+972527564010</t>
        </is>
      </c>
      <c r="K143" s="26" t="inlineStr">
        <is>
          <t>giga123@gmail.com</t>
        </is>
      </c>
      <c r="L143" s="29" t="n"/>
      <c r="M143" s="29" t="n"/>
    </row>
    <row r="144" ht="30" customHeight="1">
      <c r="A144" s="25" t="n">
        <v>46539</v>
      </c>
      <c r="B144" s="26" t="inlineStr">
        <is>
          <t>Tue</t>
        </is>
      </c>
      <c r="C144" s="26" t="n">
        <v>38</v>
      </c>
      <c r="D144" s="26" t="inlineStr">
        <is>
          <t>Q4</t>
        </is>
      </c>
      <c r="E144" s="26" t="inlineStr">
        <is>
          <t>Menachem Menasherov</t>
        </is>
      </c>
      <c r="F144" s="26" t="inlineStr">
        <is>
          <t>#3</t>
        </is>
      </c>
      <c r="G144" s="31" t="inlineStr">
        <is>
          <t>C</t>
        </is>
      </c>
      <c r="H144" s="26" t="inlineStr">
        <is>
          <t>phone</t>
        </is>
      </c>
      <c r="I144" s="28" t="inlineStr">
        <is>
          <t>Roll-up — no verified role on file. What are they doing now, where are they heading, and what do they need?</t>
        </is>
      </c>
      <c r="J144" s="26" t="inlineStr">
        <is>
          <t>+972542338686</t>
        </is>
      </c>
      <c r="K144" s="26" t="inlineStr">
        <is>
          <t>meny1237@gmail.com</t>
        </is>
      </c>
      <c r="L144" s="29" t="n"/>
      <c r="M144" s="29" t="n"/>
    </row>
    <row r="145" ht="30" customHeight="1">
      <c r="A145" s="25" t="n">
        <v>46544</v>
      </c>
      <c r="B145" s="26" t="inlineStr">
        <is>
          <t>Sun</t>
        </is>
      </c>
      <c r="C145" s="26" t="n">
        <v>39</v>
      </c>
      <c r="D145" s="26" t="inlineStr">
        <is>
          <t>Q4</t>
        </is>
      </c>
      <c r="E145" s="26" t="inlineStr">
        <is>
          <t>Zvi Wexlstein</t>
        </is>
      </c>
      <c r="F145" s="26" t="inlineStr">
        <is>
          <t>#1</t>
        </is>
      </c>
      <c r="G145" s="27" t="inlineStr">
        <is>
          <t>A</t>
        </is>
      </c>
      <c r="H145" s="26" t="inlineStr">
        <is>
          <t>email</t>
        </is>
      </c>
      <c r="I145" s="28" t="inlineStr">
        <is>
          <t>Transition point — what are they building or moving toward, what is the blocker, and who should they meet?</t>
        </is>
      </c>
      <c r="J145" s="26" t="inlineStr"/>
      <c r="K145" s="26" t="inlineStr">
        <is>
          <t>zviwex@gmail.com</t>
        </is>
      </c>
      <c r="L145" s="29" t="n"/>
      <c r="M145" s="29" t="n"/>
    </row>
    <row r="146" ht="30" customHeight="1">
      <c r="A146" s="25" t="n">
        <v>46545</v>
      </c>
      <c r="B146" s="26" t="inlineStr">
        <is>
          <t>Mon</t>
        </is>
      </c>
      <c r="C146" s="26" t="n">
        <v>39</v>
      </c>
      <c r="D146" s="26" t="inlineStr">
        <is>
          <t>Q4</t>
        </is>
      </c>
      <c r="E146" s="26" t="inlineStr">
        <is>
          <t>Almog Zer</t>
        </is>
      </c>
      <c r="F146" s="26" t="inlineStr">
        <is>
          <t>#2</t>
        </is>
      </c>
      <c r="G146" s="27" t="inlineStr">
        <is>
          <t>A</t>
        </is>
      </c>
      <c r="H146" s="26" t="inlineStr">
        <is>
          <t>phone</t>
        </is>
      </c>
      <c r="I146" s="28" t="inlineStr">
        <is>
          <t>Founding track — building this year? What is the blocker, is co-founder the gap, and who should they meet?</t>
        </is>
      </c>
      <c r="J146" s="26" t="inlineStr">
        <is>
          <t>+972507363131</t>
        </is>
      </c>
      <c r="K146" s="26" t="inlineStr">
        <is>
          <t>almogx3@gmail.com</t>
        </is>
      </c>
      <c r="L146" s="29" t="n"/>
      <c r="M146" s="29" t="n"/>
    </row>
    <row r="147" ht="30" customHeight="1">
      <c r="A147" s="25" t="n">
        <v>46546</v>
      </c>
      <c r="B147" s="26" t="inlineStr">
        <is>
          <t>Tue</t>
        </is>
      </c>
      <c r="C147" s="26" t="n">
        <v>39</v>
      </c>
      <c r="D147" s="26" t="inlineStr">
        <is>
          <t>Q4</t>
        </is>
      </c>
      <c r="E147" s="26" t="inlineStr">
        <is>
          <t>Omer Onn</t>
        </is>
      </c>
      <c r="F147" s="26" t="inlineStr">
        <is>
          <t>#2</t>
        </is>
      </c>
      <c r="G147" s="30" t="inlineStr">
        <is>
          <t>B</t>
        </is>
      </c>
      <c r="H147" s="26" t="inlineStr">
        <is>
          <t>phone</t>
        </is>
      </c>
      <c r="I147" s="28" t="inlineStr">
        <is>
          <t>What can they give — office hours, referrals into Akeyless (ex-System Architect, DriveNets), mentoring? And what do they need from us right now?</t>
        </is>
      </c>
      <c r="J147" s="26" t="inlineStr">
        <is>
          <t>+972508112332</t>
        </is>
      </c>
      <c r="K147" s="26" t="inlineStr">
        <is>
          <t>omeronn@gmail.com</t>
        </is>
      </c>
      <c r="L147" s="29" t="n"/>
      <c r="M147" s="29" t="n"/>
    </row>
    <row r="148" ht="30" customHeight="1">
      <c r="A148" s="25" t="n">
        <v>46547</v>
      </c>
      <c r="B148" s="26" t="inlineStr">
        <is>
          <t>Wed</t>
        </is>
      </c>
      <c r="C148" s="26" t="n">
        <v>39</v>
      </c>
      <c r="D148" s="26" t="inlineStr">
        <is>
          <t>Q4</t>
        </is>
      </c>
      <c r="E148" s="26" t="inlineStr">
        <is>
          <t>Omri Gotlib</t>
        </is>
      </c>
      <c r="F148" s="26" t="inlineStr">
        <is>
          <t>#2</t>
        </is>
      </c>
      <c r="G148" s="30" t="inlineStr">
        <is>
          <t>B</t>
        </is>
      </c>
      <c r="H148" s="26" t="inlineStr">
        <is>
          <t>phone</t>
        </is>
      </c>
      <c r="I148" s="28" t="inlineStr">
        <is>
          <t>What can they give — office hours, referrals, mentoring? And what do they need from us right now?</t>
        </is>
      </c>
      <c r="J148" s="26" t="inlineStr">
        <is>
          <t>+972528225572</t>
        </is>
      </c>
      <c r="K148" s="26" t="inlineStr">
        <is>
          <t>gotlib.omri@gmail.com</t>
        </is>
      </c>
      <c r="L148" s="29" t="n"/>
      <c r="M148" s="29" t="n"/>
    </row>
    <row r="149" ht="30" customHeight="1">
      <c r="A149" s="25" t="n">
        <v>46551</v>
      </c>
      <c r="B149" s="26" t="inlineStr">
        <is>
          <t>Sun</t>
        </is>
      </c>
      <c r="C149" s="26" t="n">
        <v>40</v>
      </c>
      <c r="D149" s="26" t="inlineStr">
        <is>
          <t>Q4</t>
        </is>
      </c>
      <c r="E149" s="26" t="inlineStr">
        <is>
          <t>Bar Matityahu</t>
        </is>
      </c>
      <c r="F149" s="26" t="inlineStr">
        <is>
          <t>#2</t>
        </is>
      </c>
      <c r="G149" s="27" t="inlineStr">
        <is>
          <t>A</t>
        </is>
      </c>
      <c r="H149" s="26" t="inlineStr">
        <is>
          <t>phone</t>
        </is>
      </c>
      <c r="I149" s="28" t="inlineStr">
        <is>
          <t>Founding track — building this year? What is the blocker, is co-founder the gap, and who should they meet?</t>
        </is>
      </c>
      <c r="J149" s="26" t="inlineStr">
        <is>
          <t>+972525892000</t>
        </is>
      </c>
      <c r="K149" s="26" t="inlineStr">
        <is>
          <t>barmatit@gmail.com</t>
        </is>
      </c>
      <c r="L149" s="29" t="n"/>
      <c r="M149" s="29" t="n"/>
    </row>
    <row r="150" ht="30" customHeight="1">
      <c r="A150" s="25" t="n">
        <v>46552</v>
      </c>
      <c r="B150" s="26" t="inlineStr">
        <is>
          <t>Mon</t>
        </is>
      </c>
      <c r="C150" s="26" t="n">
        <v>40</v>
      </c>
      <c r="D150" s="26" t="inlineStr">
        <is>
          <t>Q4</t>
        </is>
      </c>
      <c r="E150" s="26" t="inlineStr">
        <is>
          <t>Ron Galay</t>
        </is>
      </c>
      <c r="F150" s="26" t="inlineStr">
        <is>
          <t>#2</t>
        </is>
      </c>
      <c r="G150" s="30" t="inlineStr">
        <is>
          <t>B</t>
        </is>
      </c>
      <c r="H150" s="26" t="inlineStr">
        <is>
          <t>phone</t>
        </is>
      </c>
      <c r="I150" s="28" t="inlineStr">
        <is>
          <t>What can they give — office hours, referrals into Datadog, mentoring? And what do they need from us right now?</t>
        </is>
      </c>
      <c r="J150" s="26" t="inlineStr">
        <is>
          <t>+972503039885</t>
        </is>
      </c>
      <c r="K150" s="26" t="inlineStr">
        <is>
          <t>rongalay@gmail.com</t>
        </is>
      </c>
      <c r="L150" s="29" t="n"/>
      <c r="M150" s="29" t="n"/>
    </row>
    <row r="151" ht="30" customHeight="1">
      <c r="A151" s="25" t="n">
        <v>46553</v>
      </c>
      <c r="B151" s="26" t="inlineStr">
        <is>
          <t>Tue</t>
        </is>
      </c>
      <c r="C151" s="26" t="n">
        <v>40</v>
      </c>
      <c r="D151" s="26" t="inlineStr">
        <is>
          <t>Q4</t>
        </is>
      </c>
      <c r="E151" s="26" t="inlineStr">
        <is>
          <t>Shaked Yehezkel</t>
        </is>
      </c>
      <c r="F151" s="26" t="inlineStr">
        <is>
          <t>#2</t>
        </is>
      </c>
      <c r="G151" s="30" t="inlineStr">
        <is>
          <t>B</t>
        </is>
      </c>
      <c r="H151" s="26" t="inlineStr">
        <is>
          <t>linkedin</t>
        </is>
      </c>
      <c r="I151" s="28" t="inlineStr">
        <is>
          <t>What can they give — office hours, referrals into TAU, mentoring? And what do they need from us right now?</t>
        </is>
      </c>
      <c r="J151" s="26" t="inlineStr"/>
      <c r="K151" s="26" t="inlineStr"/>
      <c r="L151" s="29" t="n"/>
      <c r="M151" s="29" t="n"/>
    </row>
    <row r="152" ht="30" customHeight="1">
      <c r="A152" s="25" t="n">
        <v>46554</v>
      </c>
      <c r="B152" s="26" t="inlineStr">
        <is>
          <t>Wed</t>
        </is>
      </c>
      <c r="C152" s="26" t="n">
        <v>40</v>
      </c>
      <c r="D152" s="26" t="inlineStr">
        <is>
          <t>Q4</t>
        </is>
      </c>
      <c r="E152" s="26" t="inlineStr">
        <is>
          <t>Nadav Cohen</t>
        </is>
      </c>
      <c r="F152" s="26" t="inlineStr">
        <is>
          <t>#3</t>
        </is>
      </c>
      <c r="G152" s="31" t="inlineStr">
        <is>
          <t>C</t>
        </is>
      </c>
      <c r="H152" s="26" t="inlineStr">
        <is>
          <t>email</t>
        </is>
      </c>
      <c r="I152" s="28" t="inlineStr">
        <is>
          <t>Stay current — still at Tel Aviv University? What are they working on in research, and what would help?</t>
        </is>
      </c>
      <c r="J152" s="26" t="inlineStr"/>
      <c r="K152" s="26" t="inlineStr">
        <is>
          <t>nadav@deepinsight.co.il</t>
        </is>
      </c>
      <c r="L152" s="29" t="n"/>
      <c r="M152" s="29" t="n"/>
    </row>
    <row r="153" ht="30" customHeight="1">
      <c r="A153" s="25" t="n">
        <v>46558</v>
      </c>
      <c r="B153" s="26" t="inlineStr">
        <is>
          <t>Sun</t>
        </is>
      </c>
      <c r="C153" s="26" t="n">
        <v>41</v>
      </c>
      <c r="D153" s="26" t="inlineStr">
        <is>
          <t>Q4</t>
        </is>
      </c>
      <c r="E153" s="26" t="inlineStr">
        <is>
          <t>Benny Rousso</t>
        </is>
      </c>
      <c r="F153" s="26" t="inlineStr">
        <is>
          <t>#2</t>
        </is>
      </c>
      <c r="G153" s="27" t="inlineStr">
        <is>
          <t>A</t>
        </is>
      </c>
      <c r="H153" s="26" t="inlineStr">
        <is>
          <t>phone</t>
        </is>
      </c>
      <c r="I153" s="28" t="inlineStr">
        <is>
          <t>Node candidate — founded Xcardia. What can they open for our alumni, and would they give office hours?</t>
        </is>
      </c>
      <c r="J153" s="26" t="inlineStr">
        <is>
          <t>+972544345653</t>
        </is>
      </c>
      <c r="K153" s="26" t="inlineStr">
        <is>
          <t>rousso.benny@gmail.com</t>
        </is>
      </c>
      <c r="L153" s="29" t="n"/>
      <c r="M153" s="29" t="n"/>
    </row>
    <row r="154" ht="30" customHeight="1">
      <c r="A154" s="25" t="n">
        <v>46559</v>
      </c>
      <c r="B154" s="26" t="inlineStr">
        <is>
          <t>Mon</t>
        </is>
      </c>
      <c r="C154" s="26" t="n">
        <v>41</v>
      </c>
      <c r="D154" s="26" t="inlineStr">
        <is>
          <t>Q4</t>
        </is>
      </c>
      <c r="E154" s="26" t="inlineStr">
        <is>
          <t>Gal Wiernik</t>
        </is>
      </c>
      <c r="F154" s="26" t="inlineStr">
        <is>
          <t>#2</t>
        </is>
      </c>
      <c r="G154" s="27" t="inlineStr">
        <is>
          <t>A</t>
        </is>
      </c>
      <c r="H154" s="26" t="inlineStr">
        <is>
          <t>phone</t>
        </is>
      </c>
      <c r="I154" s="28" t="inlineStr">
        <is>
          <t>Node candidate — founded Edwin. What can they open for our alumni, and would they give office hours?</t>
        </is>
      </c>
      <c r="J154" s="26" t="inlineStr">
        <is>
          <t>+972502338655</t>
        </is>
      </c>
      <c r="K154" s="26" t="inlineStr">
        <is>
          <t>galwiernik@gmail.com</t>
        </is>
      </c>
      <c r="L154" s="29" t="n"/>
      <c r="M154" s="29" t="n"/>
    </row>
    <row r="155" ht="30" customHeight="1">
      <c r="A155" s="25" t="n">
        <v>46560</v>
      </c>
      <c r="B155" s="26" t="inlineStr">
        <is>
          <t>Tue</t>
        </is>
      </c>
      <c r="C155" s="26" t="n">
        <v>41</v>
      </c>
      <c r="D155" s="26" t="inlineStr">
        <is>
          <t>Q4</t>
        </is>
      </c>
      <c r="E155" s="26" t="inlineStr">
        <is>
          <t>Sharon Brizinov</t>
        </is>
      </c>
      <c r="F155" s="26" t="inlineStr">
        <is>
          <t>#2</t>
        </is>
      </c>
      <c r="G155" s="30" t="inlineStr">
        <is>
          <t>B</t>
        </is>
      </c>
      <c r="H155" s="26" t="inlineStr">
        <is>
          <t>phone</t>
        </is>
      </c>
      <c r="I155" s="28" t="inlineStr">
        <is>
          <t>What can they give — office hours, referrals, mentoring? And what do they need from us right now?</t>
        </is>
      </c>
      <c r="J155" s="26" t="inlineStr">
        <is>
          <t>+972544702148</t>
        </is>
      </c>
      <c r="K155" s="26" t="inlineStr">
        <is>
          <t>sharon.brizinov@gmail.com</t>
        </is>
      </c>
      <c r="L155" s="29" t="n"/>
      <c r="M155" s="29" t="n"/>
    </row>
    <row r="156" ht="30" customHeight="1">
      <c r="A156" s="25" t="n">
        <v>46561</v>
      </c>
      <c r="B156" s="26" t="inlineStr">
        <is>
          <t>Wed</t>
        </is>
      </c>
      <c r="C156" s="26" t="n">
        <v>41</v>
      </c>
      <c r="D156" s="26" t="inlineStr">
        <is>
          <t>Q4</t>
        </is>
      </c>
      <c r="E156" s="26" t="inlineStr">
        <is>
          <t>Noga Keren</t>
        </is>
      </c>
      <c r="F156" s="26" t="inlineStr">
        <is>
          <t>#3</t>
        </is>
      </c>
      <c r="G156" s="31" t="inlineStr">
        <is>
          <t>C</t>
        </is>
      </c>
      <c r="H156" s="26" t="inlineStr">
        <is>
          <t>phone</t>
        </is>
      </c>
      <c r="I156" s="28" t="inlineStr">
        <is>
          <t>Roll-up — no verified role on file. What are they doing now, where are they heading, and what do they need?</t>
        </is>
      </c>
      <c r="J156" s="26" t="inlineStr">
        <is>
          <t>+972586110398</t>
        </is>
      </c>
      <c r="K156" s="26" t="inlineStr">
        <is>
          <t>noga.keren@gmail.com</t>
        </is>
      </c>
      <c r="L156" s="29" t="n"/>
      <c r="M156" s="29" t="n"/>
    </row>
    <row r="157" ht="30" customHeight="1">
      <c r="A157" s="25" t="n">
        <v>46565</v>
      </c>
      <c r="B157" s="26" t="inlineStr">
        <is>
          <t>Sun</t>
        </is>
      </c>
      <c r="C157" s="26" t="n">
        <v>42</v>
      </c>
      <c r="D157" s="26" t="inlineStr">
        <is>
          <t>Q4</t>
        </is>
      </c>
      <c r="E157" s="26" t="inlineStr">
        <is>
          <t>Guy Yoshpe</t>
        </is>
      </c>
      <c r="F157" s="26" t="inlineStr">
        <is>
          <t>#2</t>
        </is>
      </c>
      <c r="G157" s="27" t="inlineStr">
        <is>
          <t>A</t>
        </is>
      </c>
      <c r="H157" s="26" t="inlineStr">
        <is>
          <t>phone</t>
        </is>
      </c>
      <c r="I157" s="28" t="inlineStr">
        <is>
          <t>Founding track — building this year? What is the blocker, is co-founder the gap, and who should they meet?</t>
        </is>
      </c>
      <c r="J157" s="26" t="inlineStr">
        <is>
          <t>+972508717313</t>
        </is>
      </c>
      <c r="K157" s="26" t="inlineStr">
        <is>
          <t>yoshpe@gmail.com</t>
        </is>
      </c>
      <c r="L157" s="29" t="n"/>
      <c r="M157" s="29" t="n"/>
    </row>
    <row r="158" ht="30" customHeight="1">
      <c r="A158" s="25" t="n">
        <v>46566</v>
      </c>
      <c r="B158" s="26" t="inlineStr">
        <is>
          <t>Mon</t>
        </is>
      </c>
      <c r="C158" s="26" t="n">
        <v>42</v>
      </c>
      <c r="D158" s="26" t="inlineStr">
        <is>
          <t>Q4</t>
        </is>
      </c>
      <c r="E158" s="26" t="inlineStr">
        <is>
          <t>Hila Shmuel</t>
        </is>
      </c>
      <c r="F158" s="26" t="inlineStr">
        <is>
          <t>#2</t>
        </is>
      </c>
      <c r="G158" s="27" t="inlineStr">
        <is>
          <t>A</t>
        </is>
      </c>
      <c r="H158" s="26" t="inlineStr">
        <is>
          <t>phone</t>
        </is>
      </c>
      <c r="I158" s="28" t="inlineStr">
        <is>
          <t>Node candidate — founded Cabinet (AI workspace). What can they open for our alumni, and would they give office hours?</t>
        </is>
      </c>
      <c r="J158" s="26" t="inlineStr">
        <is>
          <t>+972508871171</t>
        </is>
      </c>
      <c r="K158" s="26" t="inlineStr">
        <is>
          <t>hila4321@gmail.com</t>
        </is>
      </c>
      <c r="L158" s="29" t="n"/>
      <c r="M158" s="29" t="n"/>
    </row>
    <row r="159" ht="30" customHeight="1">
      <c r="A159" s="25" t="n">
        <v>46567</v>
      </c>
      <c r="B159" s="26" t="inlineStr">
        <is>
          <t>Tue</t>
        </is>
      </c>
      <c r="C159" s="26" t="n">
        <v>42</v>
      </c>
      <c r="D159" s="26" t="inlineStr">
        <is>
          <t>Q4</t>
        </is>
      </c>
      <c r="E159" s="26" t="inlineStr">
        <is>
          <t>Tzah Pahima</t>
        </is>
      </c>
      <c r="F159" s="26" t="inlineStr">
        <is>
          <t>#2</t>
        </is>
      </c>
      <c r="G159" s="30" t="inlineStr">
        <is>
          <t>B</t>
        </is>
      </c>
      <c r="H159" s="26" t="inlineStr">
        <is>
          <t>phone</t>
        </is>
      </c>
      <c r="I159" s="28" t="inlineStr">
        <is>
          <t>What can they give — office hours, referrals into Orca Security, mentoring? And what do they need from us right now?</t>
        </is>
      </c>
      <c r="J159" s="26" t="inlineStr">
        <is>
          <t>+972538271198</t>
        </is>
      </c>
      <c r="K159" s="26" t="inlineStr">
        <is>
          <t>tzahpahima123@gmail.com</t>
        </is>
      </c>
      <c r="L159" s="29" t="n"/>
      <c r="M159" s="29" t="n"/>
    </row>
    <row r="160" ht="30" customHeight="1">
      <c r="A160" s="25" t="n">
        <v>46572</v>
      </c>
      <c r="B160" s="26" t="inlineStr">
        <is>
          <t>Sun</t>
        </is>
      </c>
      <c r="C160" s="26" t="n">
        <v>43</v>
      </c>
      <c r="D160" s="26" t="inlineStr">
        <is>
          <t>Q4</t>
        </is>
      </c>
      <c r="E160" s="26" t="inlineStr">
        <is>
          <t>Iddan Golomb</t>
        </is>
      </c>
      <c r="F160" s="26" t="inlineStr">
        <is>
          <t>#2</t>
        </is>
      </c>
      <c r="G160" s="27" t="inlineStr">
        <is>
          <t>A</t>
        </is>
      </c>
      <c r="H160" s="26" t="inlineStr">
        <is>
          <t>phone</t>
        </is>
      </c>
      <c r="I160" s="28" t="inlineStr">
        <is>
          <t>Node candidate — founded Sayata. What can they open for our alumni, and would they give office hours?</t>
        </is>
      </c>
      <c r="J160" s="26" t="inlineStr">
        <is>
          <t>+972542421974</t>
        </is>
      </c>
      <c r="K160" s="26" t="inlineStr">
        <is>
          <t>igolomb@gmail.com</t>
        </is>
      </c>
      <c r="L160" s="29" t="n"/>
      <c r="M160" s="29" t="n"/>
    </row>
    <row r="161" ht="30" customHeight="1">
      <c r="A161" s="25" t="n">
        <v>46573</v>
      </c>
      <c r="B161" s="26" t="inlineStr">
        <is>
          <t>Mon</t>
        </is>
      </c>
      <c r="C161" s="26" t="n">
        <v>43</v>
      </c>
      <c r="D161" s="26" t="inlineStr">
        <is>
          <t>Q4</t>
        </is>
      </c>
      <c r="E161" s="26" t="inlineStr">
        <is>
          <t>Yakov Kosoburd</t>
        </is>
      </c>
      <c r="F161" s="26" t="inlineStr">
        <is>
          <t>#2</t>
        </is>
      </c>
      <c r="G161" s="30" t="inlineStr">
        <is>
          <t>B</t>
        </is>
      </c>
      <c r="H161" s="26" t="inlineStr">
        <is>
          <t>phone</t>
        </is>
      </c>
      <c r="I161" s="28" t="inlineStr">
        <is>
          <t>What can they give — office hours, referrals, mentoring? And what do they need from us right now?</t>
        </is>
      </c>
      <c r="J161" s="26" t="inlineStr">
        <is>
          <t>+972529508555</t>
        </is>
      </c>
      <c r="K161" s="26" t="inlineStr">
        <is>
          <t>yakov.kosoburd@gmail.com</t>
        </is>
      </c>
      <c r="L161" s="29" t="n"/>
      <c r="M161" s="29" t="n"/>
    </row>
    <row r="162" ht="30" customHeight="1">
      <c r="A162" s="25" t="n">
        <v>46574</v>
      </c>
      <c r="B162" s="26" t="inlineStr">
        <is>
          <t>Tue</t>
        </is>
      </c>
      <c r="C162" s="26" t="n">
        <v>43</v>
      </c>
      <c r="D162" s="26" t="inlineStr">
        <is>
          <t>Q4</t>
        </is>
      </c>
      <c r="E162" s="26" t="inlineStr">
        <is>
          <t>Yuri Shapira</t>
        </is>
      </c>
      <c r="F162" s="26" t="inlineStr">
        <is>
          <t>#2</t>
        </is>
      </c>
      <c r="G162" s="30" t="inlineStr">
        <is>
          <t>B</t>
        </is>
      </c>
      <c r="H162" s="26" t="inlineStr">
        <is>
          <t>phone</t>
        </is>
      </c>
      <c r="I162" s="28" t="inlineStr">
        <is>
          <t>What can they give — office hours, referrals into PureSec (Architect @ PAN per roster), mentoring? And what do they need from us right now?</t>
        </is>
      </c>
      <c r="J162" s="26" t="inlineStr">
        <is>
          <t>+972547225688</t>
        </is>
      </c>
      <c r="K162" s="26" t="inlineStr">
        <is>
          <t>yurishapira@gmail.com</t>
        </is>
      </c>
      <c r="L162" s="29" t="n"/>
      <c r="M162" s="29" t="n"/>
    </row>
    <row r="163" ht="30" customHeight="1">
      <c r="A163" s="25" t="n">
        <v>46575</v>
      </c>
      <c r="B163" s="26" t="inlineStr">
        <is>
          <t>Wed</t>
        </is>
      </c>
      <c r="C163" s="26" t="n">
        <v>43</v>
      </c>
      <c r="D163" s="26" t="inlineStr">
        <is>
          <t>Q4</t>
        </is>
      </c>
      <c r="E163" s="26" t="inlineStr">
        <is>
          <t>Noy Hadar</t>
        </is>
      </c>
      <c r="F163" s="26" t="inlineStr">
        <is>
          <t>#3</t>
        </is>
      </c>
      <c r="G163" s="31" t="inlineStr">
        <is>
          <t>C</t>
        </is>
      </c>
      <c r="H163" s="26" t="inlineStr">
        <is>
          <t>phone</t>
        </is>
      </c>
      <c r="I163" s="28" t="inlineStr">
        <is>
          <t>Stay current — still at Breeze Security? What are they working on in security, and what would help?</t>
        </is>
      </c>
      <c r="J163" s="26" t="inlineStr">
        <is>
          <t>+972544826333</t>
        </is>
      </c>
      <c r="K163" s="26" t="inlineStr">
        <is>
          <t>noyhadar95@gmail.com</t>
        </is>
      </c>
      <c r="L163" s="29" t="n"/>
      <c r="M163" s="29" t="n"/>
    </row>
    <row r="164" ht="30" customHeight="1">
      <c r="A164" s="25" t="n">
        <v>46579</v>
      </c>
      <c r="B164" s="26" t="inlineStr">
        <is>
          <t>Sun</t>
        </is>
      </c>
      <c r="C164" s="26" t="n">
        <v>44</v>
      </c>
      <c r="D164" s="26" t="inlineStr">
        <is>
          <t>Q4</t>
        </is>
      </c>
      <c r="E164" s="26" t="inlineStr">
        <is>
          <t>Jonathan Gilat</t>
        </is>
      </c>
      <c r="F164" s="26" t="inlineStr">
        <is>
          <t>#2</t>
        </is>
      </c>
      <c r="G164" s="27" t="inlineStr">
        <is>
          <t>A</t>
        </is>
      </c>
      <c r="H164" s="26" t="inlineStr">
        <is>
          <t>phone</t>
        </is>
      </c>
      <c r="I164" s="28" t="inlineStr">
        <is>
          <t>Node candidate — founded Medida AI. What can they open for our alumni, and would they give office hours?</t>
        </is>
      </c>
      <c r="J164" s="26" t="inlineStr">
        <is>
          <t>+972528198278</t>
        </is>
      </c>
      <c r="K164" s="26" t="inlineStr">
        <is>
          <t>jonathan@medida.ai</t>
        </is>
      </c>
      <c r="L164" s="29" t="n"/>
      <c r="M164" s="29" t="n"/>
    </row>
    <row r="165" ht="30" customHeight="1">
      <c r="A165" s="25" t="n">
        <v>46580</v>
      </c>
      <c r="B165" s="26" t="inlineStr">
        <is>
          <t>Mon</t>
        </is>
      </c>
      <c r="C165" s="26" t="n">
        <v>44</v>
      </c>
      <c r="D165" s="26" t="inlineStr">
        <is>
          <t>Q4</t>
        </is>
      </c>
      <c r="E165" s="26" t="inlineStr">
        <is>
          <t>Liran Markin</t>
        </is>
      </c>
      <c r="F165" s="26" t="inlineStr">
        <is>
          <t>#2</t>
        </is>
      </c>
      <c r="G165" s="27" t="inlineStr">
        <is>
          <t>A</t>
        </is>
      </c>
      <c r="H165" s="26" t="inlineStr">
        <is>
          <t>phone</t>
        </is>
      </c>
      <c r="I165" s="28" t="inlineStr">
        <is>
          <t>Node candidate — founded Edwin. What can they open for our alumni, and would they give office hours?</t>
        </is>
      </c>
      <c r="J165" s="26" t="inlineStr">
        <is>
          <t>+972544911254</t>
        </is>
      </c>
      <c r="K165" s="26" t="inlineStr">
        <is>
          <t>liran.markin@gmail.com</t>
        </is>
      </c>
      <c r="L165" s="29" t="n"/>
      <c r="M165" s="29" t="n"/>
    </row>
    <row r="166" ht="30" customHeight="1">
      <c r="A166" s="25" t="n">
        <v>46581</v>
      </c>
      <c r="B166" s="26" t="inlineStr">
        <is>
          <t>Tue</t>
        </is>
      </c>
      <c r="C166" s="26" t="n">
        <v>44</v>
      </c>
      <c r="D166" s="26" t="inlineStr">
        <is>
          <t>Q4</t>
        </is>
      </c>
      <c r="E166" s="26" t="inlineStr">
        <is>
          <t>Alon Wolf</t>
        </is>
      </c>
      <c r="F166" s="26" t="inlineStr">
        <is>
          <t>#3</t>
        </is>
      </c>
      <c r="G166" s="30" t="inlineStr">
        <is>
          <t>B</t>
        </is>
      </c>
      <c r="H166" s="26" t="inlineStr">
        <is>
          <t>phone</t>
        </is>
      </c>
      <c r="I166" s="28" t="inlineStr">
        <is>
          <t>What can they give — office hours, referrals into Cyera, mentoring? And what do they need from us right now?</t>
        </is>
      </c>
      <c r="J166" s="26" t="inlineStr">
        <is>
          <t>+972546611903</t>
        </is>
      </c>
      <c r="K166" s="26" t="inlineStr">
        <is>
          <t>alonwolfy@gmail.com</t>
        </is>
      </c>
      <c r="L166" s="29" t="n"/>
      <c r="M166" s="29" t="n"/>
    </row>
    <row r="167" ht="30" customHeight="1">
      <c r="A167" s="25" t="n">
        <v>46582</v>
      </c>
      <c r="B167" s="26" t="inlineStr">
        <is>
          <t>Wed</t>
        </is>
      </c>
      <c r="C167" s="26" t="n">
        <v>44</v>
      </c>
      <c r="D167" s="26" t="inlineStr">
        <is>
          <t>Q4</t>
        </is>
      </c>
      <c r="E167" s="26" t="inlineStr">
        <is>
          <t>Ariel Bachar</t>
        </is>
      </c>
      <c r="F167" s="26" t="inlineStr">
        <is>
          <t>#3</t>
        </is>
      </c>
      <c r="G167" s="30" t="inlineStr">
        <is>
          <t>B</t>
        </is>
      </c>
      <c r="H167" s="26" t="inlineStr">
        <is>
          <t>phone</t>
        </is>
      </c>
      <c r="I167" s="28" t="inlineStr">
        <is>
          <t>What can they give — office hours, referrals into Zafran, mentoring? And what do they need from us right now?</t>
        </is>
      </c>
      <c r="J167" s="26" t="inlineStr">
        <is>
          <t>+972545301526</t>
        </is>
      </c>
      <c r="K167" s="26" t="inlineStr">
        <is>
          <t>relrelbachar@gmail.com</t>
        </is>
      </c>
      <c r="L167" s="29" t="n"/>
      <c r="M167" s="29" t="n"/>
    </row>
    <row r="168" ht="30" customHeight="1">
      <c r="A168" s="25" t="n">
        <v>46586</v>
      </c>
      <c r="B168" s="26" t="inlineStr">
        <is>
          <t>Sun</t>
        </is>
      </c>
      <c r="C168" s="26" t="n">
        <v>45</v>
      </c>
      <c r="D168" s="26" t="inlineStr">
        <is>
          <t>Q4</t>
        </is>
      </c>
      <c r="E168" s="26" t="inlineStr">
        <is>
          <t>Michael Komraz</t>
        </is>
      </c>
      <c r="F168" s="26" t="inlineStr">
        <is>
          <t>#2</t>
        </is>
      </c>
      <c r="G168" s="27" t="inlineStr">
        <is>
          <t>A</t>
        </is>
      </c>
      <c r="H168" s="26" t="inlineStr">
        <is>
          <t>phone</t>
        </is>
      </c>
      <c r="I168" s="28" t="inlineStr">
        <is>
          <t>Founding track — building this year? What is the blocker, is co-founder the gap, and who should they meet?</t>
        </is>
      </c>
      <c r="J168" s="26" t="inlineStr">
        <is>
          <t>+972544319975</t>
        </is>
      </c>
      <c r="K168" s="26" t="inlineStr">
        <is>
          <t>mikomraz@gmail.com</t>
        </is>
      </c>
      <c r="L168" s="29" t="n"/>
      <c r="M168" s="29" t="n"/>
    </row>
    <row r="169" ht="30" customHeight="1">
      <c r="A169" s="25" t="n">
        <v>46587</v>
      </c>
      <c r="B169" s="26" t="inlineStr">
        <is>
          <t>Mon</t>
        </is>
      </c>
      <c r="C169" s="26" t="n">
        <v>45</v>
      </c>
      <c r="D169" s="26" t="inlineStr">
        <is>
          <t>Q4</t>
        </is>
      </c>
      <c r="E169" s="26" t="inlineStr">
        <is>
          <t>Mor Shemesh</t>
        </is>
      </c>
      <c r="F169" s="26" t="inlineStr">
        <is>
          <t>#2</t>
        </is>
      </c>
      <c r="G169" s="27" t="inlineStr">
        <is>
          <t>A</t>
        </is>
      </c>
      <c r="H169" s="26" t="inlineStr">
        <is>
          <t>phone</t>
        </is>
      </c>
      <c r="I169" s="28" t="inlineStr">
        <is>
          <t>Founding track — building this year? What is the blocker, is co-founder the gap, and who should they meet?</t>
        </is>
      </c>
      <c r="J169" s="26" t="inlineStr">
        <is>
          <t>+972507711998</t>
        </is>
      </c>
      <c r="K169" s="26" t="inlineStr">
        <is>
          <t>mor.m.shemesh@gmail.com</t>
        </is>
      </c>
      <c r="L169" s="29" t="n"/>
      <c r="M169" s="29" t="n"/>
    </row>
    <row r="170" ht="30" customHeight="1">
      <c r="A170" s="25" t="n">
        <v>46588</v>
      </c>
      <c r="B170" s="26" t="inlineStr">
        <is>
          <t>Tue</t>
        </is>
      </c>
      <c r="C170" s="26" t="n">
        <v>45</v>
      </c>
      <c r="D170" s="26" t="inlineStr">
        <is>
          <t>Q4</t>
        </is>
      </c>
      <c r="E170" s="26" t="inlineStr">
        <is>
          <t>Avraham Berrebi</t>
        </is>
      </c>
      <c r="F170" s="26" t="inlineStr">
        <is>
          <t>#3</t>
        </is>
      </c>
      <c r="G170" s="30" t="inlineStr">
        <is>
          <t>B</t>
        </is>
      </c>
      <c r="H170" s="26" t="inlineStr">
        <is>
          <t>phone</t>
        </is>
      </c>
      <c r="I170" s="28" t="inlineStr">
        <is>
          <t>What can they give — office hours, referrals, mentoring? And what do they need from us right now?</t>
        </is>
      </c>
      <c r="J170" s="26" t="inlineStr">
        <is>
          <t>+972526207606</t>
        </is>
      </c>
      <c r="K170" s="26" t="inlineStr">
        <is>
          <t>avraham.berr@gmail.com</t>
        </is>
      </c>
      <c r="L170" s="29" t="n"/>
      <c r="M170" s="29" t="n"/>
    </row>
    <row r="171" ht="30" customHeight="1">
      <c r="A171" s="25" t="n">
        <v>46589</v>
      </c>
      <c r="B171" s="26" t="inlineStr">
        <is>
          <t>Wed</t>
        </is>
      </c>
      <c r="C171" s="26" t="n">
        <v>45</v>
      </c>
      <c r="D171" s="26" t="inlineStr">
        <is>
          <t>Q4</t>
        </is>
      </c>
      <c r="E171" s="26" t="inlineStr">
        <is>
          <t>Oz Tamir</t>
        </is>
      </c>
      <c r="F171" s="26" t="inlineStr">
        <is>
          <t>#3</t>
        </is>
      </c>
      <c r="G171" s="31" t="inlineStr">
        <is>
          <t>C</t>
        </is>
      </c>
      <c r="H171" s="26" t="inlineStr">
        <is>
          <t>phone</t>
        </is>
      </c>
      <c r="I171" s="28" t="inlineStr">
        <is>
          <t>Stay current — what are they working on in ai-ml now, and what would help?</t>
        </is>
      </c>
      <c r="J171" s="26" t="inlineStr">
        <is>
          <t>+972528645340</t>
        </is>
      </c>
      <c r="K171" s="26" t="inlineStr">
        <is>
          <t>oz@tamir.fun</t>
        </is>
      </c>
      <c r="L171" s="29" t="n"/>
      <c r="M171" s="29" t="n"/>
    </row>
    <row r="172" ht="30" customHeight="1">
      <c r="A172" s="25" t="n">
        <v>46593</v>
      </c>
      <c r="B172" s="26" t="inlineStr">
        <is>
          <t>Sun</t>
        </is>
      </c>
      <c r="C172" s="26" t="n">
        <v>46</v>
      </c>
      <c r="D172" s="26" t="inlineStr">
        <is>
          <t>Q4</t>
        </is>
      </c>
      <c r="E172" s="26" t="inlineStr">
        <is>
          <t>Roy Moshe</t>
        </is>
      </c>
      <c r="F172" s="26" t="inlineStr">
        <is>
          <t>#2</t>
        </is>
      </c>
      <c r="G172" s="27" t="inlineStr">
        <is>
          <t>A</t>
        </is>
      </c>
      <c r="H172" s="26" t="inlineStr">
        <is>
          <t>phone</t>
        </is>
      </c>
      <c r="I172" s="28" t="inlineStr">
        <is>
          <t>Founding track — building this year? What is the blocker, is co-founder the gap, and who should they meet?</t>
        </is>
      </c>
      <c r="J172" s="26" t="inlineStr">
        <is>
          <t>+972546777815</t>
        </is>
      </c>
      <c r="K172" s="26" t="inlineStr">
        <is>
          <t>roymoshe23@gmail.com</t>
        </is>
      </c>
      <c r="L172" s="29" t="n"/>
      <c r="M172" s="29" t="n"/>
    </row>
    <row r="173" ht="30" customHeight="1">
      <c r="A173" s="25" t="n">
        <v>46594</v>
      </c>
      <c r="B173" s="26" t="inlineStr">
        <is>
          <t>Mon</t>
        </is>
      </c>
      <c r="C173" s="26" t="n">
        <v>46</v>
      </c>
      <c r="D173" s="26" t="inlineStr">
        <is>
          <t>Q4</t>
        </is>
      </c>
      <c r="E173" s="26" t="inlineStr">
        <is>
          <t>Georgy Melamed</t>
        </is>
      </c>
      <c r="F173" s="26" t="inlineStr">
        <is>
          <t>#3</t>
        </is>
      </c>
      <c r="G173" s="30" t="inlineStr">
        <is>
          <t>B</t>
        </is>
      </c>
      <c r="H173" s="26" t="inlineStr">
        <is>
          <t>phone</t>
        </is>
      </c>
      <c r="I173" s="28" t="inlineStr">
        <is>
          <t>What can they give — office hours, referrals into Walmart Global Tech, mentoring? And what do they need from us right now?</t>
        </is>
      </c>
      <c r="J173" s="26" t="inlineStr">
        <is>
          <t>+972523872832</t>
        </is>
      </c>
      <c r="K173" s="26" t="inlineStr">
        <is>
          <t>gmelamed@gmail.com</t>
        </is>
      </c>
      <c r="L173" s="29" t="n"/>
      <c r="M173" s="29" t="n"/>
    </row>
    <row r="174" ht="30" customHeight="1">
      <c r="A174" s="25" t="n">
        <v>46595</v>
      </c>
      <c r="B174" s="26" t="inlineStr">
        <is>
          <t>Tue</t>
        </is>
      </c>
      <c r="C174" s="26" t="n">
        <v>46</v>
      </c>
      <c r="D174" s="26" t="inlineStr">
        <is>
          <t>Q4</t>
        </is>
      </c>
      <c r="E174" s="26" t="inlineStr">
        <is>
          <t>Guy Goldenberg</t>
        </is>
      </c>
      <c r="F174" s="26" t="inlineStr">
        <is>
          <t>#3</t>
        </is>
      </c>
      <c r="G174" s="30" t="inlineStr">
        <is>
          <t>B</t>
        </is>
      </c>
      <c r="H174" s="26" t="inlineStr">
        <is>
          <t>phone</t>
        </is>
      </c>
      <c r="I174" s="28" t="inlineStr">
        <is>
          <t>What can they give — office hours, referrals into Wiz, mentoring? And what do they need from us right now?</t>
        </is>
      </c>
      <c r="J174" s="26" t="inlineStr">
        <is>
          <t>+972542172153</t>
        </is>
      </c>
      <c r="K174" s="26" t="inlineStr">
        <is>
          <t>guy.goldenberg@gmail.com</t>
        </is>
      </c>
      <c r="L174" s="29" t="n"/>
      <c r="M174" s="29" t="n"/>
    </row>
    <row r="175" ht="30" customHeight="1">
      <c r="A175" s="25" t="n">
        <v>46596</v>
      </c>
      <c r="B175" s="26" t="inlineStr">
        <is>
          <t>Wed</t>
        </is>
      </c>
      <c r="C175" s="26" t="n">
        <v>46</v>
      </c>
      <c r="D175" s="26" t="inlineStr">
        <is>
          <t>Q4</t>
        </is>
      </c>
      <c r="E175" s="26" t="inlineStr">
        <is>
          <t>Uri Ariel Chen</t>
        </is>
      </c>
      <c r="F175" s="26" t="inlineStr">
        <is>
          <t>#3</t>
        </is>
      </c>
      <c r="G175" s="31" t="inlineStr">
        <is>
          <t>C</t>
        </is>
      </c>
      <c r="H175" s="26" t="inlineStr">
        <is>
          <t>phone</t>
        </is>
      </c>
      <c r="I175" s="28" t="inlineStr">
        <is>
          <t>Stay current — what are they working on in infra-systems now, and what would help?</t>
        </is>
      </c>
      <c r="J175" s="26" t="inlineStr">
        <is>
          <t>+972549703632</t>
        </is>
      </c>
      <c r="K175" s="26" t="inlineStr">
        <is>
          <t>uriariel10@gmail.com</t>
        </is>
      </c>
      <c r="L175" s="29" t="n"/>
      <c r="M175" s="29" t="n"/>
    </row>
    <row r="176" ht="30" customHeight="1">
      <c r="A176" s="25" t="n">
        <v>46600</v>
      </c>
      <c r="B176" s="26" t="inlineStr">
        <is>
          <t>Sun</t>
        </is>
      </c>
      <c r="C176" s="26" t="n">
        <v>47</v>
      </c>
      <c r="D176" s="26" t="inlineStr">
        <is>
          <t>Q4</t>
        </is>
      </c>
      <c r="E176" s="26" t="inlineStr">
        <is>
          <t>Tomer Goren</t>
        </is>
      </c>
      <c r="F176" s="26" t="inlineStr">
        <is>
          <t>#2</t>
        </is>
      </c>
      <c r="G176" s="27" t="inlineStr">
        <is>
          <t>A</t>
        </is>
      </c>
      <c r="H176" s="26" t="inlineStr">
        <is>
          <t>phone</t>
        </is>
      </c>
      <c r="I176" s="28" t="inlineStr">
        <is>
          <t>Founding track — building this year? What is the blocker, is co-founder the gap, and who should they meet?</t>
        </is>
      </c>
      <c r="J176" s="26" t="inlineStr">
        <is>
          <t>+972544744575</t>
        </is>
      </c>
      <c r="K176" s="26" t="inlineStr">
        <is>
          <t>tomergoren99@gmail.com</t>
        </is>
      </c>
      <c r="L176" s="29" t="n"/>
      <c r="M176" s="29" t="n"/>
    </row>
    <row r="177" ht="30" customHeight="1">
      <c r="A177" s="25" t="n">
        <v>46601</v>
      </c>
      <c r="B177" s="26" t="inlineStr">
        <is>
          <t>Mon</t>
        </is>
      </c>
      <c r="C177" s="26" t="n">
        <v>47</v>
      </c>
      <c r="D177" s="26" t="inlineStr">
        <is>
          <t>Q4</t>
        </is>
      </c>
      <c r="E177" s="26" t="inlineStr">
        <is>
          <t>Benny Getz</t>
        </is>
      </c>
      <c r="F177" s="26" t="inlineStr">
        <is>
          <t>#3</t>
        </is>
      </c>
      <c r="G177" s="27" t="inlineStr">
        <is>
          <t>A</t>
        </is>
      </c>
      <c r="H177" s="26" t="inlineStr">
        <is>
          <t>phone</t>
        </is>
      </c>
      <c r="I177" s="28" t="inlineStr">
        <is>
          <t>Node candidate — founded Predicta Med. What can they open for our alumni, and would they give office hours?</t>
        </is>
      </c>
      <c r="J177" s="26" t="inlineStr">
        <is>
          <t>+972545551000</t>
        </is>
      </c>
      <c r="K177" s="26" t="inlineStr">
        <is>
          <t>benny.getz@gmail.com</t>
        </is>
      </c>
      <c r="L177" s="29" t="n"/>
      <c r="M177" s="29" t="n"/>
    </row>
    <row r="178" ht="30" customHeight="1">
      <c r="A178" s="25" t="n">
        <v>46602</v>
      </c>
      <c r="B178" s="26" t="inlineStr">
        <is>
          <t>Tue</t>
        </is>
      </c>
      <c r="C178" s="26" t="n">
        <v>47</v>
      </c>
      <c r="D178" s="26" t="inlineStr">
        <is>
          <t>Q4</t>
        </is>
      </c>
      <c r="E178" s="26" t="inlineStr">
        <is>
          <t>Idan Lev-Yehudi</t>
        </is>
      </c>
      <c r="F178" s="26" t="inlineStr">
        <is>
          <t>#3</t>
        </is>
      </c>
      <c r="G178" s="30" t="inlineStr">
        <is>
          <t>B</t>
        </is>
      </c>
      <c r="H178" s="26" t="inlineStr">
        <is>
          <t>phone</t>
        </is>
      </c>
      <c r="I178" s="28" t="inlineStr">
        <is>
          <t>What can they give — office hours, referrals into Technion Autonomous Systems (POMDP planning), mentoring? And what do they need from us right now?</t>
        </is>
      </c>
      <c r="J178" s="26" t="inlineStr">
        <is>
          <t>+972523059999</t>
        </is>
      </c>
      <c r="K178" s="26" t="inlineStr">
        <is>
          <t>idanly98@gmail.com</t>
        </is>
      </c>
      <c r="L178" s="29" t="n"/>
      <c r="M178" s="29" t="n"/>
    </row>
    <row r="179" ht="30" customHeight="1">
      <c r="A179" s="25" t="n">
        <v>46607</v>
      </c>
      <c r="B179" s="26" t="inlineStr">
        <is>
          <t>Sun</t>
        </is>
      </c>
      <c r="C179" s="26" t="n">
        <v>48</v>
      </c>
      <c r="D179" s="26" t="inlineStr">
        <is>
          <t>Q4</t>
        </is>
      </c>
      <c r="E179" s="26" t="inlineStr">
        <is>
          <t>Dolev Elbaz</t>
        </is>
      </c>
      <c r="F179" s="26" t="inlineStr">
        <is>
          <t>#3</t>
        </is>
      </c>
      <c r="G179" s="27" t="inlineStr">
        <is>
          <t>A</t>
        </is>
      </c>
      <c r="H179" s="26" t="inlineStr">
        <is>
          <t>phone</t>
        </is>
      </c>
      <c r="I179" s="28" t="inlineStr">
        <is>
          <t>Node candidate — founded Breeze Security. What can they open for our alumni, and would they give office hours?</t>
        </is>
      </c>
      <c r="J179" s="26" t="inlineStr">
        <is>
          <t>+972525677675</t>
        </is>
      </c>
      <c r="K179" s="26" t="inlineStr">
        <is>
          <t>dolevelb@gmail.com</t>
        </is>
      </c>
      <c r="L179" s="29" t="n"/>
      <c r="M179" s="29" t="n"/>
    </row>
    <row r="180" ht="30" customHeight="1">
      <c r="A180" s="25" t="n">
        <v>46608</v>
      </c>
      <c r="B180" s="26" t="inlineStr">
        <is>
          <t>Mon</t>
        </is>
      </c>
      <c r="C180" s="26" t="n">
        <v>48</v>
      </c>
      <c r="D180" s="26" t="inlineStr">
        <is>
          <t>Q4</t>
        </is>
      </c>
      <c r="E180" s="26" t="inlineStr">
        <is>
          <t>Itamar Gilad</t>
        </is>
      </c>
      <c r="F180" s="26" t="inlineStr">
        <is>
          <t>#3</t>
        </is>
      </c>
      <c r="G180" s="30" t="inlineStr">
        <is>
          <t>B</t>
        </is>
      </c>
      <c r="H180" s="26" t="inlineStr">
        <is>
          <t>phone</t>
        </is>
      </c>
      <c r="I180" s="28" t="inlineStr">
        <is>
          <t>What can they give — office hours, referrals into Wiz, mentoring? And what do they need from us right now?</t>
        </is>
      </c>
      <c r="J180" s="26" t="inlineStr">
        <is>
          <t>+972504787314</t>
        </is>
      </c>
      <c r="K180" s="26" t="inlineStr">
        <is>
          <t>itamar.gilad@wiz.io</t>
        </is>
      </c>
      <c r="L180" s="29" t="n"/>
      <c r="M180" s="29" t="n"/>
    </row>
    <row r="181" ht="30" customHeight="1">
      <c r="A181" s="25" t="n">
        <v>46609</v>
      </c>
      <c r="B181" s="26" t="inlineStr">
        <is>
          <t>Tue</t>
        </is>
      </c>
      <c r="C181" s="26" t="n">
        <v>48</v>
      </c>
      <c r="D181" s="26" t="inlineStr">
        <is>
          <t>Q4</t>
        </is>
      </c>
      <c r="E181" s="26" t="inlineStr">
        <is>
          <t>Itay Gissis</t>
        </is>
      </c>
      <c r="F181" s="26" t="inlineStr">
        <is>
          <t>#3</t>
        </is>
      </c>
      <c r="G181" s="30" t="inlineStr">
        <is>
          <t>B</t>
        </is>
      </c>
      <c r="H181" s="26" t="inlineStr">
        <is>
          <t>phone</t>
        </is>
      </c>
      <c r="I181" s="28" t="inlineStr">
        <is>
          <t>What can they give — office hours, referrals into nT-Tao (compact fusion), mentoring? And what do they need from us right now?</t>
        </is>
      </c>
      <c r="J181" s="26" t="inlineStr">
        <is>
          <t>+972504039870</t>
        </is>
      </c>
      <c r="K181" s="26" t="inlineStr">
        <is>
          <t>itaigiss@gmail.com</t>
        </is>
      </c>
      <c r="L181" s="29" t="n"/>
      <c r="M181" s="29" t="n"/>
    </row>
    <row r="182" ht="30" customHeight="1">
      <c r="A182" s="25" t="n">
        <v>46610</v>
      </c>
      <c r="B182" s="26" t="inlineStr">
        <is>
          <t>Wed</t>
        </is>
      </c>
      <c r="C182" s="26" t="n">
        <v>48</v>
      </c>
      <c r="D182" s="26" t="inlineStr">
        <is>
          <t>Q4</t>
        </is>
      </c>
      <c r="E182" s="26" t="inlineStr">
        <is>
          <t>Yoni Hornstein</t>
        </is>
      </c>
      <c r="F182" s="26" t="inlineStr">
        <is>
          <t>#3</t>
        </is>
      </c>
      <c r="G182" s="31" t="inlineStr">
        <is>
          <t>C</t>
        </is>
      </c>
      <c r="H182" s="26" t="inlineStr">
        <is>
          <t>phone</t>
        </is>
      </c>
      <c r="I182" s="28" t="inlineStr">
        <is>
          <t>Stay current — still at Wiz? What are they working on in security, and what would help?</t>
        </is>
      </c>
      <c r="J182" s="26" t="inlineStr">
        <is>
          <t>+972502758710</t>
        </is>
      </c>
      <c r="K182" s="26" t="inlineStr">
        <is>
          <t>yoni.horn@gmail.com</t>
        </is>
      </c>
      <c r="L182" s="29" t="n"/>
      <c r="M182" s="29" t="n"/>
    </row>
    <row r="183" ht="30" customHeight="1">
      <c r="A183" s="25" t="n">
        <v>46614</v>
      </c>
      <c r="B183" s="26" t="inlineStr">
        <is>
          <t>Sun</t>
        </is>
      </c>
      <c r="C183" s="26" t="n">
        <v>49</v>
      </c>
      <c r="D183" s="26" t="inlineStr">
        <is>
          <t>Q4</t>
        </is>
      </c>
      <c r="E183" s="26" t="inlineStr">
        <is>
          <t>Nadav Claude Cohen</t>
        </is>
      </c>
      <c r="F183" s="26" t="inlineStr">
        <is>
          <t>#3</t>
        </is>
      </c>
      <c r="G183" s="27" t="inlineStr">
        <is>
          <t>A</t>
        </is>
      </c>
      <c r="H183" s="26" t="inlineStr">
        <is>
          <t>phone</t>
        </is>
      </c>
      <c r="I183" s="28" t="inlineStr">
        <is>
          <t>Founding track — building this year? What is the blocker, is co-founder the gap, and who should they meet?</t>
        </is>
      </c>
      <c r="J183" s="26" t="inlineStr">
        <is>
          <t>+972543134989</t>
        </is>
      </c>
      <c r="K183" s="26" t="inlineStr">
        <is>
          <t>nadav.claude.cohen@gmail.com</t>
        </is>
      </c>
      <c r="L183" s="29" t="n"/>
      <c r="M183" s="29" t="n"/>
    </row>
    <row r="184" ht="30" customHeight="1">
      <c r="A184" s="25" t="n">
        <v>46615</v>
      </c>
      <c r="B184" s="26" t="inlineStr">
        <is>
          <t>Mon</t>
        </is>
      </c>
      <c r="C184" s="26" t="n">
        <v>49</v>
      </c>
      <c r="D184" s="26" t="inlineStr">
        <is>
          <t>Q4</t>
        </is>
      </c>
      <c r="E184" s="26" t="inlineStr">
        <is>
          <t>Oren Fine</t>
        </is>
      </c>
      <c r="F184" s="26" t="inlineStr">
        <is>
          <t>#3</t>
        </is>
      </c>
      <c r="G184" s="27" t="inlineStr">
        <is>
          <t>A</t>
        </is>
      </c>
      <c r="H184" s="26" t="inlineStr">
        <is>
          <t>phone</t>
        </is>
      </c>
      <c r="I184" s="28" t="inlineStr">
        <is>
          <t>Founding track — building this year? What is the blocker, is co-founder the gap, and who should they meet?</t>
        </is>
      </c>
      <c r="J184" s="26" t="inlineStr">
        <is>
          <t>+972586392129</t>
        </is>
      </c>
      <c r="K184" s="26" t="inlineStr">
        <is>
          <t>orenfine@gmail.com</t>
        </is>
      </c>
      <c r="L184" s="29" t="n"/>
      <c r="M184" s="29" t="n"/>
    </row>
    <row r="185" ht="30" customHeight="1">
      <c r="A185" s="25" t="n">
        <v>46616</v>
      </c>
      <c r="B185" s="26" t="inlineStr">
        <is>
          <t>Tue</t>
        </is>
      </c>
      <c r="C185" s="26" t="n">
        <v>49</v>
      </c>
      <c r="D185" s="26" t="inlineStr">
        <is>
          <t>Q4</t>
        </is>
      </c>
      <c r="E185" s="26" t="inlineStr">
        <is>
          <t>Liad Ben Uri</t>
        </is>
      </c>
      <c r="F185" s="26" t="inlineStr">
        <is>
          <t>#3</t>
        </is>
      </c>
      <c r="G185" s="30" t="inlineStr">
        <is>
          <t>B</t>
        </is>
      </c>
      <c r="H185" s="26" t="inlineStr">
        <is>
          <t>phone</t>
        </is>
      </c>
      <c r="I185" s="28" t="inlineStr">
        <is>
          <t>What can they give — office hours, referrals into Weizmann (Milo lab, Nature co-author), mentoring? And what do they need from us right now?</t>
        </is>
      </c>
      <c r="J185" s="26" t="inlineStr">
        <is>
          <t>+972546326372</t>
        </is>
      </c>
      <c r="K185" s="26" t="inlineStr">
        <is>
          <t>liadgo2@gmail.com</t>
        </is>
      </c>
      <c r="L185" s="29" t="n"/>
      <c r="M185" s="29" t="n"/>
    </row>
    <row r="186" ht="30" customHeight="1">
      <c r="A186" s="25" t="n">
        <v>46617</v>
      </c>
      <c r="B186" s="26" t="inlineStr">
        <is>
          <t>Wed</t>
        </is>
      </c>
      <c r="C186" s="26" t="n">
        <v>49</v>
      </c>
      <c r="D186" s="26" t="inlineStr">
        <is>
          <t>Q4</t>
        </is>
      </c>
      <c r="E186" s="26" t="inlineStr">
        <is>
          <t>Yuval Genossar</t>
        </is>
      </c>
      <c r="F186" s="26" t="inlineStr">
        <is>
          <t>#3</t>
        </is>
      </c>
      <c r="G186" s="31" t="inlineStr">
        <is>
          <t>C</t>
        </is>
      </c>
      <c r="H186" s="26" t="inlineStr">
        <is>
          <t>phone</t>
        </is>
      </c>
      <c r="I186" s="28" t="inlineStr">
        <is>
          <t>Stay current — still at Government of Israel? What are they working on, and what would help?</t>
        </is>
      </c>
      <c r="J186" s="26" t="inlineStr">
        <is>
          <t>+972547260186</t>
        </is>
      </c>
      <c r="K186" s="26" t="inlineStr">
        <is>
          <t>yuval.genossar@gmail.com</t>
        </is>
      </c>
      <c r="L186" s="29" t="n"/>
      <c r="M186" s="29" t="n"/>
    </row>
    <row r="187" ht="30" customHeight="1">
      <c r="A187" s="25" t="n">
        <v>46621</v>
      </c>
      <c r="B187" s="26" t="inlineStr">
        <is>
          <t>Sun</t>
        </is>
      </c>
      <c r="C187" s="26" t="n">
        <v>50</v>
      </c>
      <c r="D187" s="26" t="inlineStr">
        <is>
          <t>Q4</t>
        </is>
      </c>
      <c r="E187" s="26" t="inlineStr">
        <is>
          <t>Shlomo Lahav</t>
        </is>
      </c>
      <c r="F187" s="26" t="inlineStr">
        <is>
          <t>#3</t>
        </is>
      </c>
      <c r="G187" s="27" t="inlineStr">
        <is>
          <t>A</t>
        </is>
      </c>
      <c r="H187" s="26" t="inlineStr">
        <is>
          <t>phone</t>
        </is>
      </c>
      <c r="I187" s="28" t="inlineStr">
        <is>
          <t>Node candidate — founded TrueNorth Systems. What can they open for our alumni, and would they give office hours?</t>
        </is>
      </c>
      <c r="J187" s="26" t="inlineStr">
        <is>
          <t>+972545330111</t>
        </is>
      </c>
      <c r="K187" s="26" t="inlineStr">
        <is>
          <t>shlomo@lahavs.com</t>
        </is>
      </c>
      <c r="L187" s="29" t="n"/>
      <c r="M187" s="29" t="n"/>
    </row>
    <row r="188" ht="30" customHeight="1">
      <c r="A188" s="25" t="n">
        <v>46622</v>
      </c>
      <c r="B188" s="26" t="inlineStr">
        <is>
          <t>Mon</t>
        </is>
      </c>
      <c r="C188" s="26" t="n">
        <v>50</v>
      </c>
      <c r="D188" s="26" t="inlineStr">
        <is>
          <t>Q4</t>
        </is>
      </c>
      <c r="E188" s="26" t="inlineStr">
        <is>
          <t>Yaniv Shaked</t>
        </is>
      </c>
      <c r="F188" s="26" t="inlineStr">
        <is>
          <t>#3</t>
        </is>
      </c>
      <c r="G188" s="27" t="inlineStr">
        <is>
          <t>A</t>
        </is>
      </c>
      <c r="H188" s="26" t="inlineStr">
        <is>
          <t>phone</t>
        </is>
      </c>
      <c r="I188" s="28" t="inlineStr">
        <is>
          <t>Founding track — building this year? What is the blocker, is co-founder the gap, and who should they meet?</t>
        </is>
      </c>
      <c r="J188" s="26" t="inlineStr">
        <is>
          <t>+972525621097</t>
        </is>
      </c>
      <c r="K188" s="26" t="inlineStr">
        <is>
          <t>yanivsh002@gmail.com</t>
        </is>
      </c>
      <c r="L188" s="29" t="n"/>
      <c r="M188" s="29" t="n"/>
    </row>
    <row r="189" ht="30" customHeight="1">
      <c r="A189" s="25" t="n">
        <v>46623</v>
      </c>
      <c r="B189" s="26" t="inlineStr">
        <is>
          <t>Tue</t>
        </is>
      </c>
      <c r="C189" s="26" t="n">
        <v>50</v>
      </c>
      <c r="D189" s="26" t="inlineStr">
        <is>
          <t>Q4</t>
        </is>
      </c>
      <c r="E189" s="26" t="inlineStr">
        <is>
          <t>Mark Popov</t>
        </is>
      </c>
      <c r="F189" s="26" t="inlineStr">
        <is>
          <t>#3</t>
        </is>
      </c>
      <c r="G189" s="30" t="inlineStr">
        <is>
          <t>B</t>
        </is>
      </c>
      <c r="H189" s="26" t="inlineStr">
        <is>
          <t>phone</t>
        </is>
      </c>
      <c r="I189" s="28" t="inlineStr">
        <is>
          <t>What can they give — office hours, referrals into Vayyar Imaging, mentoring? And what do they need from us right now?</t>
        </is>
      </c>
      <c r="J189" s="26" t="inlineStr">
        <is>
          <t>+972544321050</t>
        </is>
      </c>
      <c r="K189" s="26" t="inlineStr">
        <is>
          <t>mark.popov@gmail.com</t>
        </is>
      </c>
      <c r="L189" s="29" t="n"/>
      <c r="M189" s="29" t="n"/>
    </row>
    <row r="190" ht="30" customHeight="1">
      <c r="A190" s="25" t="n">
        <v>46624</v>
      </c>
      <c r="B190" s="26" t="inlineStr">
        <is>
          <t>Wed</t>
        </is>
      </c>
      <c r="C190" s="26" t="n">
        <v>50</v>
      </c>
      <c r="D190" s="26" t="inlineStr">
        <is>
          <t>Q4</t>
        </is>
      </c>
      <c r="E190" s="26" t="inlineStr">
        <is>
          <t>Matan Shoef</t>
        </is>
      </c>
      <c r="F190" s="26" t="inlineStr">
        <is>
          <t>#3</t>
        </is>
      </c>
      <c r="G190" s="30" t="inlineStr">
        <is>
          <t>B</t>
        </is>
      </c>
      <c r="H190" s="26" t="inlineStr">
        <is>
          <t>phone</t>
        </is>
      </c>
      <c r="I190" s="28" t="inlineStr">
        <is>
          <t>What can they give — office hours, referrals into OpenEyes, mentoring? And what do they need from us right now?</t>
        </is>
      </c>
      <c r="J190" s="26" t="inlineStr">
        <is>
          <t>+972545221060</t>
        </is>
      </c>
      <c r="K190" s="26" t="inlineStr">
        <is>
          <t>matan.shoef@gmail.com</t>
        </is>
      </c>
      <c r="L190" s="29" t="n"/>
      <c r="M190" s="29" t="n"/>
    </row>
  </sheetData>
  <autoFilter ref="A1:M190"/>
  <conditionalFormatting sqref="L2:L190">
    <cfRule type="cellIs" priority="1" operator="equal" dxfId="0">
      <formula>"done"</formula>
    </cfRule>
  </conditionalFormatting>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showDropDown="0" showInputMessage="0" showErrorMessage="0" allowBlank="1" type="list">
      <formula1>"done,rescheduled,no answer,skipped"</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9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6" customWidth="1" min="3" max="3"/>
    <col width="8" customWidth="1" min="4" max="4"/>
    <col width="12" customWidth="1" min="5" max="5"/>
    <col width="12" customWidth="1" min="6" max="6"/>
    <col width="22" customWidth="1" min="7" max="7"/>
    <col width="30" customWidth="1" min="8" max="8"/>
    <col width="14" customWidth="1" min="9" max="9"/>
    <col width="16" customWidth="1" min="10" max="10"/>
    <col width="6" customWidth="1" min="11" max="11"/>
    <col width="13" customWidth="1" min="12" max="12"/>
    <col width="34" customWidth="1" min="13" max="13"/>
    <col width="30" customWidth="1" min="14" max="14"/>
    <col width="30" customWidth="1" min="15" max="15"/>
    <col width="12" customWidth="1" min="16" max="16"/>
    <col width="16" customWidth="1" min="17" max="17"/>
    <col width="34" customWidth="1" min="18" max="18"/>
    <col width="11" customWidth="1" min="19" max="19"/>
    <col width="30" customWidth="1" min="20" max="20"/>
    <col width="24" customWidth="1" min="21" max="21"/>
    <col width="16" customWidth="1" min="22" max="22"/>
    <col width="46" customWidth="1" min="23" max="23"/>
    <col width="40" customWidth="1" min="24" max="24"/>
  </cols>
  <sheetData>
    <row r="1" ht="28" customHeight="1">
      <c r="A1" s="24" t="inlineStr">
        <is>
          <t>ID</t>
        </is>
      </c>
      <c r="B1" s="24" t="inlineStr">
        <is>
          <t>Name</t>
        </is>
      </c>
      <c r="C1" s="24" t="inlineStr">
        <is>
          <t>שם בעברית</t>
        </is>
      </c>
      <c r="D1" s="24" t="inlineStr">
        <is>
          <t>Cohort</t>
        </is>
      </c>
      <c r="E1" s="24" t="inlineStr">
        <is>
          <t>Founder track</t>
        </is>
      </c>
      <c r="F1" s="24" t="inlineStr">
        <is>
          <t>Unit</t>
        </is>
      </c>
      <c r="G1" s="24" t="inlineStr">
        <is>
          <t>Company</t>
        </is>
      </c>
      <c r="H1" s="24" t="inlineStr">
        <is>
          <t>Role</t>
        </is>
      </c>
      <c r="I1" s="24" t="inlineStr">
        <is>
          <t>Location</t>
        </is>
      </c>
      <c r="J1" s="24" t="inlineStr">
        <is>
          <t>Domain</t>
        </is>
      </c>
      <c r="K1" s="24" t="inlineStr">
        <is>
          <t>Tier</t>
        </is>
      </c>
      <c r="L1" s="24" t="inlineStr">
        <is>
          <t>Tie strength</t>
        </is>
      </c>
      <c r="M1" s="24" t="inlineStr">
        <is>
          <t>Now / current goal</t>
        </is>
      </c>
      <c r="N1" s="24" t="inlineStr">
        <is>
          <t>Needs</t>
        </is>
      </c>
      <c r="O1" s="24" t="inlineStr">
        <is>
          <t>Can help with</t>
        </is>
      </c>
      <c r="P1" s="24" t="inlineStr">
        <is>
          <t>Last contact</t>
        </is>
      </c>
      <c r="Q1" s="24" t="inlineStr">
        <is>
          <t>Source</t>
        </is>
      </c>
      <c r="R1" s="24" t="inlineStr">
        <is>
          <t>NEXT ACTION</t>
        </is>
      </c>
      <c r="S1" s="24" t="inlineStr">
        <is>
          <t>Due</t>
        </is>
      </c>
      <c r="T1" s="24" t="inlineStr">
        <is>
          <t>LinkedIn</t>
        </is>
      </c>
      <c r="U1" s="24" t="inlineStr">
        <is>
          <t>Email</t>
        </is>
      </c>
      <c r="V1" s="24" t="inlineStr">
        <is>
          <t>Phone</t>
        </is>
      </c>
      <c r="W1" s="24" t="inlineStr">
        <is>
          <t>Source note (GPU screen, 15/07)</t>
        </is>
      </c>
      <c r="X1" s="24" t="inlineStr">
        <is>
          <t>Notes</t>
        </is>
      </c>
    </row>
    <row r="2" ht="30" customHeight="1">
      <c r="A2" s="26" t="n">
        <v>6</v>
      </c>
      <c r="B2" s="26" t="inlineStr">
        <is>
          <t>Assaf Monsa</t>
        </is>
      </c>
      <c r="C2" s="29" t="n"/>
      <c r="D2" s="26" t="inlineStr">
        <is>
          <t>#1</t>
        </is>
      </c>
      <c r="E2" s="26" t="n"/>
      <c r="F2" s="26" t="inlineStr">
        <is>
          <t>Talpiot</t>
        </is>
      </c>
      <c r="G2" s="26" t="n"/>
      <c r="H2" s="28" t="inlineStr">
        <is>
          <t>Co-Founder, CTO &amp; VP R&amp;D, D-Fend Solutions</t>
        </is>
      </c>
      <c r="I2" s="29" t="inlineStr">
        <is>
          <t>Netanya, Israel</t>
        </is>
      </c>
      <c r="J2" s="26" t="inlineStr">
        <is>
          <t>security</t>
        </is>
      </c>
      <c r="K2" s="32" t="inlineStr">
        <is>
          <t>A</t>
        </is>
      </c>
      <c r="L2" s="29" t="n"/>
      <c r="M2" s="33" t="n"/>
      <c r="N2" s="33" t="n"/>
      <c r="O2" s="33" t="n"/>
      <c r="P2" s="34" t="n"/>
      <c r="Q2" s="29" t="n"/>
      <c r="R2" s="33" t="n"/>
      <c r="S2" s="34" t="n"/>
      <c r="T2" s="26" t="inlineStr">
        <is>
          <t>https://www.linkedin.com/in/assaf-monsa-72a84/</t>
        </is>
      </c>
      <c r="U2" s="29" t="inlineStr">
        <is>
          <t>assafmonsa@gmail.com</t>
        </is>
      </c>
      <c r="V2" s="29" t="inlineStr">
        <is>
          <t>+972544319991</t>
        </is>
      </c>
      <c r="W2" s="28" t="inlineStr">
        <is>
          <t>Founded and scaled a real-time RF/hardware company (counter-drone) as CTO/VP R&amp;D - proven physical-systems founder. Domain gap (RF, not GPU/power) and committed to D-Fend.</t>
        </is>
      </c>
      <c r="X2" s="33" t="inlineStr">
        <is>
          <t>[dex import] education: תלפיות · tags: Apex Newsletter,Signed To Apex,Fireside Chat,19/10/25 Closing Event,Apex Grad</t>
        </is>
      </c>
    </row>
    <row r="3" ht="30" customHeight="1">
      <c r="A3" s="26" t="n">
        <v>1</v>
      </c>
      <c r="B3" s="26" t="inlineStr">
        <is>
          <t>Aviel Adler</t>
        </is>
      </c>
      <c r="C3" s="29" t="n"/>
      <c r="D3" s="26" t="inlineStr">
        <is>
          <t>#1</t>
        </is>
      </c>
      <c r="E3" s="26" t="n"/>
      <c r="F3" s="26" t="n"/>
      <c r="G3" s="26" t="n"/>
      <c r="H3" s="28" t="inlineStr">
        <is>
          <t>R&amp;D</t>
        </is>
      </c>
      <c r="I3" s="29" t="inlineStr">
        <is>
          <t>Israel</t>
        </is>
      </c>
      <c r="J3" s="26" t="n"/>
      <c r="K3" s="35" t="inlineStr">
        <is>
          <t>C</t>
        </is>
      </c>
      <c r="L3" s="29" t="n"/>
      <c r="M3" s="33" t="n"/>
      <c r="N3" s="33" t="n"/>
      <c r="O3" s="33" t="n"/>
      <c r="P3" s="34" t="n"/>
      <c r="Q3" s="29" t="n"/>
      <c r="R3" s="33" t="n"/>
      <c r="S3" s="34" t="n"/>
      <c r="T3" s="26" t="inlineStr">
        <is>
          <t>https://www.linkedin.com/in/aviel-a-a87b2612/</t>
        </is>
      </c>
      <c r="U3" s="29" t="inlineStr">
        <is>
          <t>avieladler@gmail.com</t>
        </is>
      </c>
      <c r="V3" s="29" t="inlineStr">
        <is>
          <t>+972549954666</t>
        </is>
      </c>
      <c r="W3" s="28" t="inlineStr">
        <is>
          <t>No company/role data in roster and no reliable public technical record found against the criteria (GPU systems, power, real-time control).</t>
        </is>
      </c>
      <c r="X3" s="33" t="inlineStr">
        <is>
          <t>[dex import] education: תלפיות · tags: Apex Newsletter,Signed To Apex,Fireside Chat,Apex Grad</t>
        </is>
      </c>
    </row>
    <row r="4" ht="30" customHeight="1">
      <c r="A4" s="26" t="n">
        <v>9</v>
      </c>
      <c r="B4" s="26" t="inlineStr">
        <is>
          <t>Daniel Ohayon</t>
        </is>
      </c>
      <c r="C4" s="29" t="n"/>
      <c r="D4" s="26" t="inlineStr">
        <is>
          <t>#1</t>
        </is>
      </c>
      <c r="E4" s="26" t="n"/>
      <c r="F4" s="26" t="inlineStr">
        <is>
          <t>Psagot</t>
        </is>
      </c>
      <c r="G4" s="26" t="n"/>
      <c r="H4" s="28" t="inlineStr">
        <is>
          <t>MSc student, Technion</t>
        </is>
      </c>
      <c r="I4" s="29" t="inlineStr">
        <is>
          <t>Jerusalem District, Israel</t>
        </is>
      </c>
      <c r="J4" s="26" t="inlineStr">
        <is>
          <t>research</t>
        </is>
      </c>
      <c r="K4" s="35" t="inlineStr">
        <is>
          <t>C</t>
        </is>
      </c>
      <c r="L4" s="29" t="n"/>
      <c r="M4" s="33" t="n"/>
      <c r="N4" s="33" t="n"/>
      <c r="O4" s="33" t="n"/>
      <c r="P4" s="34" t="n"/>
      <c r="Q4" s="29" t="n"/>
      <c r="R4" s="33" t="n"/>
      <c r="S4" s="34" t="n"/>
      <c r="T4" s="26" t="inlineStr">
        <is>
          <t>https://www.linkedin.com/in/daniel-ohayon-45b68513a</t>
        </is>
      </c>
      <c r="U4" s="29" t="n"/>
      <c r="V4" s="29" t="inlineStr">
        <is>
          <t>+972524056440</t>
        </is>
      </c>
      <c r="W4" s="28" t="inlineStr">
        <is>
          <t>Graduate student, Psagot. Insufficient production record to score above the average band.</t>
        </is>
      </c>
      <c r="X4" s="33" t="n"/>
    </row>
    <row r="5" ht="30" customHeight="1">
      <c r="A5" s="26" t="n">
        <v>8</v>
      </c>
      <c r="B5" s="26" t="inlineStr">
        <is>
          <t>Danny Grander</t>
        </is>
      </c>
      <c r="C5" s="29" t="n"/>
      <c r="D5" s="26" t="inlineStr">
        <is>
          <t>#1</t>
        </is>
      </c>
      <c r="E5" s="26" t="n"/>
      <c r="F5" s="26" t="inlineStr">
        <is>
          <t>ARAM</t>
        </is>
      </c>
      <c r="G5" s="26" t="inlineStr">
        <is>
          <t>Snyk</t>
        </is>
      </c>
      <c r="H5" s="28" t="inlineStr">
        <is>
          <t>Co-Founder</t>
        </is>
      </c>
      <c r="I5" s="29" t="inlineStr">
        <is>
          <t>Israel</t>
        </is>
      </c>
      <c r="J5" s="26" t="inlineStr">
        <is>
          <t>security</t>
        </is>
      </c>
      <c r="K5" s="32" t="inlineStr">
        <is>
          <t>A</t>
        </is>
      </c>
      <c r="L5" s="29" t="n"/>
      <c r="M5" s="33" t="n"/>
      <c r="N5" s="33" t="n"/>
      <c r="O5" s="33" t="n"/>
      <c r="P5" s="34" t="n"/>
      <c r="Q5" s="29" t="n"/>
      <c r="R5" s="33" t="n"/>
      <c r="S5" s="34" t="n"/>
      <c r="T5" s="26" t="inlineStr">
        <is>
          <t>https://www.linkedin.com/in/grander</t>
        </is>
      </c>
      <c r="U5" s="29" t="inlineStr">
        <is>
          <t>danny.grander@gmail.com</t>
        </is>
      </c>
      <c r="V5" s="29" t="inlineStr">
        <is>
          <t>+972507616594</t>
        </is>
      </c>
      <c r="W5" s="28" t="inlineStr">
        <is>
          <t>World-class 0-to-1 founder signal (Snyk) and now angel - but zero domain overlap with GPU/power. Not an operator fit; top-tier angel/advisor target for Joulix's next round.</t>
        </is>
      </c>
      <c r="X5" s="33" t="inlineStr">
        <is>
          <t>[dex import] met with: Can help Apex · education: ארם · tags: Apex Donor,PEF,Apex Newsletter,Mega Connector,Signed To Apex,Fireside Chat,Coffee Avishag,19/10/25 Closing Event,25/2/2026 - Closing Event,Apex Grad</t>
        </is>
      </c>
    </row>
    <row r="6" ht="30" customHeight="1">
      <c r="A6" s="26" t="n">
        <v>10</v>
      </c>
      <c r="B6" s="26" t="inlineStr">
        <is>
          <t>Dror Ben Eliezer</t>
        </is>
      </c>
      <c r="C6" s="29" t="n"/>
      <c r="D6" s="26" t="inlineStr">
        <is>
          <t>#1</t>
        </is>
      </c>
      <c r="E6" s="26" t="n"/>
      <c r="F6" s="26" t="inlineStr">
        <is>
          <t>Talpiot</t>
        </is>
      </c>
      <c r="G6" s="26" t="n"/>
      <c r="H6" s="28" t="inlineStr">
        <is>
          <t>Independent Consultant, ex-Nike</t>
        </is>
      </c>
      <c r="I6" s="29" t="n"/>
      <c r="J6" s="26" t="inlineStr">
        <is>
          <t>product-gtm</t>
        </is>
      </c>
      <c r="K6" s="35" t="inlineStr">
        <is>
          <t>C</t>
        </is>
      </c>
      <c r="L6" s="29" t="n"/>
      <c r="M6" s="33" t="n"/>
      <c r="N6" s="33" t="n"/>
      <c r="O6" s="33" t="n"/>
      <c r="P6" s="34" t="n"/>
      <c r="Q6" s="29" t="n"/>
      <c r="R6" s="33" t="n"/>
      <c r="S6" s="34" t="n"/>
      <c r="T6" s="26" t="inlineStr">
        <is>
          <t>https://www.linkedin.com/in/dror-ben-eliezer-b084406/</t>
        </is>
      </c>
      <c r="U6" s="29" t="n"/>
      <c r="V6" s="29" t="n"/>
      <c r="W6" s="28" t="inlineStr">
        <is>
          <t>Consulting profile, no evidence of hands-on systems/infra work relevant to the criteria.</t>
        </is>
      </c>
      <c r="X6" s="33" t="n"/>
    </row>
    <row r="7" ht="30" customHeight="1">
      <c r="A7" s="26" t="n">
        <v>5</v>
      </c>
      <c r="B7" s="26" t="inlineStr">
        <is>
          <t>Eldad Kepten</t>
        </is>
      </c>
      <c r="C7" s="29" t="n"/>
      <c r="D7" s="26" t="inlineStr">
        <is>
          <t>#1</t>
        </is>
      </c>
      <c r="E7" s="26" t="n"/>
      <c r="F7" s="26" t="inlineStr">
        <is>
          <t>Talpiot</t>
        </is>
      </c>
      <c r="G7" s="26" t="n"/>
      <c r="H7" s="28" t="inlineStr">
        <is>
          <t>Leading Data Scientist (research-to-product)</t>
        </is>
      </c>
      <c r="I7" s="29" t="n"/>
      <c r="J7" s="26" t="inlineStr">
        <is>
          <t>ai-ml</t>
        </is>
      </c>
      <c r="K7" s="36" t="inlineStr">
        <is>
          <t>B</t>
        </is>
      </c>
      <c r="L7" s="29" t="n"/>
      <c r="M7" s="33" t="n"/>
      <c r="N7" s="33" t="n"/>
      <c r="O7" s="33" t="n"/>
      <c r="P7" s="34" t="n"/>
      <c r="Q7" s="29" t="n"/>
      <c r="R7" s="33" t="n"/>
      <c r="S7" s="34" t="n"/>
      <c r="T7" s="26" t="inlineStr">
        <is>
          <t>https://www.linkedin.com/in/eldad-kepten-441ba124/</t>
        </is>
      </c>
      <c r="U7" s="29" t="n"/>
      <c r="V7" s="29" t="n"/>
      <c r="W7" s="28" t="inlineStr">
        <is>
          <t>Senior data scientist bridging research to product. Relevant analytical horsepower, no systems/power/GPU evidence.</t>
        </is>
      </c>
      <c r="X7" s="33" t="n"/>
    </row>
    <row r="8" ht="30" customHeight="1">
      <c r="A8" s="26" t="n">
        <v>20</v>
      </c>
      <c r="B8" s="26" t="inlineStr">
        <is>
          <t>Eran Hertzmann</t>
        </is>
      </c>
      <c r="C8" s="29" t="n"/>
      <c r="D8" s="26" t="inlineStr">
        <is>
          <t>#1</t>
        </is>
      </c>
      <c r="E8" s="26" t="n"/>
      <c r="F8" s="26" t="inlineStr">
        <is>
          <t>Talpiot</t>
        </is>
      </c>
      <c r="G8" s="26" t="n"/>
      <c r="H8" s="28" t="inlineStr">
        <is>
          <t>Product Executive, AI digital health</t>
        </is>
      </c>
      <c r="I8" s="29" t="inlineStr">
        <is>
          <t>Tel-Aviv District, Israel</t>
        </is>
      </c>
      <c r="J8" s="26" t="inlineStr">
        <is>
          <t>ai-ml</t>
        </is>
      </c>
      <c r="K8" s="36" t="inlineStr">
        <is>
          <t>B</t>
        </is>
      </c>
      <c r="L8" s="29" t="n"/>
      <c r="M8" s="33" t="n"/>
      <c r="N8" s="33" t="n"/>
      <c r="O8" s="33" t="n"/>
      <c r="P8" s="34" t="n"/>
      <c r="Q8" s="29" t="n"/>
      <c r="R8" s="33" t="n"/>
      <c r="S8" s="34" t="n"/>
      <c r="T8" s="26" t="inlineStr">
        <is>
          <t>https://www.linkedin.com/in/eran-hertzmann-24a400</t>
        </is>
      </c>
      <c r="U8" s="29" t="inlineStr">
        <is>
          <t>eran.hertzmann@gmail.com</t>
        </is>
      </c>
      <c r="V8" s="29" t="inlineStr">
        <is>
          <t>+972545424895</t>
        </is>
      </c>
      <c r="W8" s="28" t="inlineStr">
        <is>
          <t>Product executive, health tech. Not a technical founding fit for this domain.</t>
        </is>
      </c>
      <c r="X8" s="33" t="inlineStr">
        <is>
          <t>[dex import] education: תלפיות · tags: Apex Newsletter,Signed To Apex,Fireside Chat,Apex Grad</t>
        </is>
      </c>
    </row>
    <row r="9" ht="30" customHeight="1">
      <c r="A9" s="26" t="n">
        <v>19</v>
      </c>
      <c r="B9" s="26" t="inlineStr">
        <is>
          <t>Eran Hirsch</t>
        </is>
      </c>
      <c r="C9" s="29" t="n"/>
      <c r="D9" s="26" t="inlineStr">
        <is>
          <t>#1</t>
        </is>
      </c>
      <c r="E9" s="26" t="n"/>
      <c r="F9" s="26" t="inlineStr">
        <is>
          <t>ARAM</t>
        </is>
      </c>
      <c r="G9" s="26" t="n"/>
      <c r="H9" s="28" t="inlineStr">
        <is>
          <t>Freelance Full-Stack, ex-Meta</t>
        </is>
      </c>
      <c r="I9" s="29" t="inlineStr">
        <is>
          <t>Givatayim, Tel-Aviv District, Israel</t>
        </is>
      </c>
      <c r="J9" s="26" t="inlineStr">
        <is>
          <t>infra-systems</t>
        </is>
      </c>
      <c r="K9" s="35" t="inlineStr">
        <is>
          <t>C</t>
        </is>
      </c>
      <c r="L9" s="29" t="n"/>
      <c r="M9" s="33" t="n"/>
      <c r="N9" s="33" t="n"/>
      <c r="O9" s="33" t="n"/>
      <c r="P9" s="34" t="n"/>
      <c r="Q9" s="29" t="n"/>
      <c r="R9" s="33" t="n"/>
      <c r="S9" s="34" t="n"/>
      <c r="T9" s="26" t="inlineStr">
        <is>
          <t>https://www.linkedin.com/in/eranhirsch</t>
        </is>
      </c>
      <c r="U9" s="29" t="inlineStr">
        <is>
          <t>eranhirsch@gmail.com</t>
        </is>
      </c>
      <c r="V9" s="29" t="inlineStr">
        <is>
          <t>+972548303525</t>
        </is>
      </c>
      <c r="W9" s="28" t="inlineStr">
        <is>
          <t>Ex-Meta full-stack freelancer. Application layer; no systems/power depth in public record.</t>
        </is>
      </c>
      <c r="X9" s="33" t="inlineStr">
        <is>
          <t>[dex import] education: אר"ם · tags: Apex Newsletter,Signed To Apex,Fireside Chat,19/10/25 Closing Event,Apex Grad</t>
        </is>
      </c>
    </row>
    <row r="10" ht="30" customHeight="1">
      <c r="A10" s="26" t="n">
        <v>4</v>
      </c>
      <c r="B10" s="26" t="inlineStr">
        <is>
          <t>Eyal Kraft</t>
        </is>
      </c>
      <c r="C10" s="29" t="n"/>
      <c r="D10" s="26" t="inlineStr">
        <is>
          <t>#1</t>
        </is>
      </c>
      <c r="E10" s="26" t="n"/>
      <c r="F10" s="26" t="inlineStr">
        <is>
          <t>ARAM</t>
        </is>
      </c>
      <c r="G10" s="26" t="inlineStr">
        <is>
          <t>Stealth</t>
        </is>
      </c>
      <c r="H10" s="28" t="inlineStr">
        <is>
          <t>CTO</t>
        </is>
      </c>
      <c r="I10" s="29" t="n"/>
      <c r="J10" s="26" t="n"/>
      <c r="K10" s="32" t="inlineStr">
        <is>
          <t>A</t>
        </is>
      </c>
      <c r="L10" s="29" t="n"/>
      <c r="M10" s="33" t="n"/>
      <c r="N10" s="33" t="n"/>
      <c r="O10" s="33" t="n"/>
      <c r="P10" s="34" t="n"/>
      <c r="Q10" s="29" t="n"/>
      <c r="R10" s="33" t="n"/>
      <c r="S10" s="34" t="n"/>
      <c r="T10" s="26" t="inlineStr">
        <is>
          <t>https://www.linkedin.com/in/eyalkraft</t>
        </is>
      </c>
      <c r="U10" s="29" t="n"/>
      <c r="V10" s="29" t="n"/>
      <c r="W10" s="28" t="inlineStr">
        <is>
          <t>CTO of a stealth company - cannot assess technical fit without knowing the domain, and availability is presumptively zero. Track, don't pitch.</t>
        </is>
      </c>
      <c r="X10" s="33" t="n"/>
    </row>
    <row r="11" ht="30" customHeight="1">
      <c r="A11" s="26" t="n">
        <v>7</v>
      </c>
      <c r="B11" s="26" t="inlineStr">
        <is>
          <t>Gai Gutherz</t>
        </is>
      </c>
      <c r="C11" s="29" t="n"/>
      <c r="D11" s="26" t="inlineStr">
        <is>
          <t>#1</t>
        </is>
      </c>
      <c r="E11" s="26" t="n"/>
      <c r="F11" s="26" t="inlineStr">
        <is>
          <t>Talpiot</t>
        </is>
      </c>
      <c r="G11" s="26" t="inlineStr">
        <is>
          <t>Miggo</t>
        </is>
      </c>
      <c r="H11" s="28" t="inlineStr">
        <is>
          <t>Head of Technical Product</t>
        </is>
      </c>
      <c r="I11" s="29" t="n"/>
      <c r="J11" s="26" t="inlineStr">
        <is>
          <t>security</t>
        </is>
      </c>
      <c r="K11" s="36" t="inlineStr">
        <is>
          <t>B</t>
        </is>
      </c>
      <c r="L11" s="29" t="n"/>
      <c r="M11" s="33" t="n"/>
      <c r="N11" s="33" t="n"/>
      <c r="O11" s="33" t="n"/>
      <c r="P11" s="34" t="n"/>
      <c r="Q11" s="29" t="n"/>
      <c r="R11" s="33" t="n"/>
      <c r="S11" s="34" t="n"/>
      <c r="T11" s="26" t="inlineStr">
        <is>
          <t>https://www.linkedin.com/in/gai-gutherz</t>
        </is>
      </c>
      <c r="U11" s="29" t="n"/>
      <c r="V11" s="29" t="n"/>
      <c r="W11" s="28" t="inlineStr">
        <is>
          <t>Technical product leadership in appsec. No systems/power/GPU record.</t>
        </is>
      </c>
      <c r="X11" s="33" t="n"/>
    </row>
    <row r="12" ht="30" customHeight="1">
      <c r="A12" s="26" t="n">
        <v>18</v>
      </c>
      <c r="B12" s="26" t="inlineStr">
        <is>
          <t>Inbal Beracha</t>
        </is>
      </c>
      <c r="C12" s="29" t="n"/>
      <c r="D12" s="26" t="inlineStr">
        <is>
          <t>#1</t>
        </is>
      </c>
      <c r="E12" s="26" t="n"/>
      <c r="F12" s="26" t="inlineStr">
        <is>
          <t>Talpiot</t>
        </is>
      </c>
      <c r="G12" s="26" t="inlineStr">
        <is>
          <t>Stealth</t>
        </is>
      </c>
      <c r="H12" s="28" t="inlineStr">
        <is>
          <t>Founding Engineer</t>
        </is>
      </c>
      <c r="I12" s="29" t="n"/>
      <c r="J12" s="26" t="n"/>
      <c r="K12" s="32" t="inlineStr">
        <is>
          <t>A</t>
        </is>
      </c>
      <c r="L12" s="29" t="n"/>
      <c r="M12" s="33" t="n"/>
      <c r="N12" s="33" t="n"/>
      <c r="O12" s="33" t="n"/>
      <c r="P12" s="34" t="n"/>
      <c r="Q12" s="29" t="n"/>
      <c r="R12" s="33" t="n"/>
      <c r="S12" s="34" t="n"/>
      <c r="T12" s="26" t="inlineStr">
        <is>
          <t>https://www.linkedin.com/in/inbal-beracha-a668ab182/</t>
        </is>
      </c>
      <c r="U12" s="29" t="n"/>
      <c r="V12" s="29" t="n"/>
      <c r="W12" s="28" t="inlineStr">
        <is>
          <t>Founding engineer at stealth - domain unknown, availability presumptively zero.</t>
        </is>
      </c>
      <c r="X12" s="33" t="n"/>
    </row>
    <row r="13" ht="30" customHeight="1">
      <c r="A13" s="26" t="n">
        <v>11</v>
      </c>
      <c r="B13" s="26" t="inlineStr">
        <is>
          <t>Meir Adest</t>
        </is>
      </c>
      <c r="C13" s="29" t="n"/>
      <c r="D13" s="26" t="inlineStr">
        <is>
          <t>#1</t>
        </is>
      </c>
      <c r="E13" s="26" t="n"/>
      <c r="F13" s="26" t="inlineStr">
        <is>
          <t>Talpiot</t>
        </is>
      </c>
      <c r="G13" s="26" t="n"/>
      <c r="H13" s="28" t="inlineStr">
        <is>
          <t>Co-Founder, SolarEdge Technologies</t>
        </is>
      </c>
      <c r="I13" s="29" t="n"/>
      <c r="J13" s="26" t="inlineStr">
        <is>
          <t>hardware-embedded</t>
        </is>
      </c>
      <c r="K13" s="32" t="inlineStr">
        <is>
          <t>A</t>
        </is>
      </c>
      <c r="L13" s="29" t="n"/>
      <c r="M13" s="33" t="n"/>
      <c r="N13" s="33" t="n"/>
      <c r="O13" s="33" t="n"/>
      <c r="P13" s="34" t="n"/>
      <c r="Q13" s="29" t="n"/>
      <c r="R13" s="33" t="n"/>
      <c r="S13" s="34" t="n"/>
      <c r="T13" s="26" t="inlineStr">
        <is>
          <t>https://www.linkedin.com/in/meiradest/</t>
        </is>
      </c>
      <c r="U13" s="29" t="n"/>
      <c r="V13" s="29" t="n"/>
      <c r="W13" s="28" t="inlineStr">
        <is>
          <t>Co-founded SolarEdge - the defining company in power-optimization electronics (per-panel DC optimization, i.e. 'maximize output per installed watt'), scaled to a global public company. Exact business logic of Joulix in a different asset class. Won't join as operator; exceptional as founding chairman / technical advisor / seed investor.</t>
        </is>
      </c>
      <c r="X13" s="33" t="n"/>
    </row>
    <row r="14" ht="30" customHeight="1">
      <c r="A14" s="26" t="n">
        <v>12</v>
      </c>
      <c r="B14" s="26" t="inlineStr">
        <is>
          <t>Michael Kellner</t>
        </is>
      </c>
      <c r="C14" s="29" t="n"/>
      <c r="D14" s="26" t="inlineStr">
        <is>
          <t>#1</t>
        </is>
      </c>
      <c r="E14" s="26" t="n"/>
      <c r="F14" s="26" t="inlineStr">
        <is>
          <t>Talpiot</t>
        </is>
      </c>
      <c r="G14" s="26" t="inlineStr">
        <is>
          <t>SendBlocks</t>
        </is>
      </c>
      <c r="H14" s="28" t="inlineStr">
        <is>
          <t>Co-Founder &amp; CTO</t>
        </is>
      </c>
      <c r="I14" s="29" t="n"/>
      <c r="J14" s="26" t="n"/>
      <c r="K14" s="32" t="inlineStr">
        <is>
          <t>A</t>
        </is>
      </c>
      <c r="L14" s="29" t="n"/>
      <c r="M14" s="33" t="n"/>
      <c r="N14" s="33" t="n"/>
      <c r="O14" s="33" t="n"/>
      <c r="P14" s="34" t="n"/>
      <c r="Q14" s="29" t="n"/>
      <c r="R14" s="33" t="n"/>
      <c r="S14" s="34" t="n"/>
      <c r="T14" s="26" t="inlineStr">
        <is>
          <t>https://www.linkedin.com/in/michael-kellner-689258206</t>
        </is>
      </c>
      <c r="U14" s="29" t="inlineStr">
        <is>
          <t>mike53il@gmail.com</t>
        </is>
      </c>
      <c r="V14" s="29" t="inlineStr">
        <is>
          <t>+972545311213</t>
        </is>
      </c>
      <c r="W14" s="28" t="inlineStr">
        <is>
          <t>Infra founder-CTO (blockchain data infrastructure). Real infra chops, committed elsewhere, no power/GPU record.</t>
        </is>
      </c>
      <c r="X14" s="33" t="inlineStr">
        <is>
          <t>[dex import] education: תלפיות · tags: Apex Newsletter,Signed To Apex,Fireside Chat,25/2/2026 - Closing Event,Apex Grad</t>
        </is>
      </c>
    </row>
    <row r="15" ht="30" customHeight="1">
      <c r="A15" s="26" t="n">
        <v>13</v>
      </c>
      <c r="B15" s="26" t="inlineStr">
        <is>
          <t>Michal Shilo</t>
        </is>
      </c>
      <c r="C15" s="29" t="n"/>
      <c r="D15" s="26" t="inlineStr">
        <is>
          <t>#1</t>
        </is>
      </c>
      <c r="E15" s="26" t="n"/>
      <c r="F15" s="26" t="inlineStr">
        <is>
          <t>Talpiot</t>
        </is>
      </c>
      <c r="G15" s="26" t="n"/>
      <c r="H15" s="28" t="inlineStr">
        <is>
          <t>Data Scientist</t>
        </is>
      </c>
      <c r="I15" s="29" t="inlineStr">
        <is>
          <t>Tel Aviv-Yafo, Tel Aviv District, Israel</t>
        </is>
      </c>
      <c r="J15" s="26" t="inlineStr">
        <is>
          <t>ai-ml</t>
        </is>
      </c>
      <c r="K15" s="36" t="inlineStr">
        <is>
          <t>B</t>
        </is>
      </c>
      <c r="L15" s="29" t="n"/>
      <c r="M15" s="33" t="n"/>
      <c r="N15" s="33" t="n"/>
      <c r="O15" s="33" t="n"/>
      <c r="P15" s="34" t="n"/>
      <c r="Q15" s="29" t="n"/>
      <c r="R15" s="33" t="n"/>
      <c r="S15" s="34" t="n"/>
      <c r="T15" s="26" t="inlineStr">
        <is>
          <t>https://www.linkedin.com/in/michal-shilo-ba3002190/</t>
        </is>
      </c>
      <c r="U15" s="29" t="inlineStr">
        <is>
          <t>michalshilo6@gmail.com</t>
        </is>
      </c>
      <c r="V15" s="29" t="inlineStr">
        <is>
          <t>+972524598022</t>
        </is>
      </c>
      <c r="W15" s="28" t="inlineStr">
        <is>
          <t>Data scientist, Talpiot. No systems/power/GPU evidence.</t>
        </is>
      </c>
      <c r="X15" s="33" t="inlineStr">
        <is>
          <t>[dex import] education: תלפיות · tags: Apex Newsletter,Signed To Apex,Fireside Chat,Apex Grad</t>
        </is>
      </c>
    </row>
    <row r="16" ht="30" customHeight="1">
      <c r="A16" s="26" t="n">
        <v>14</v>
      </c>
      <c r="B16" s="26" t="inlineStr">
        <is>
          <t>Nadav Zemach</t>
        </is>
      </c>
      <c r="C16" s="29" t="n"/>
      <c r="D16" s="26" t="inlineStr">
        <is>
          <t>#1</t>
        </is>
      </c>
      <c r="E16" s="26" t="n"/>
      <c r="F16" s="26" t="inlineStr">
        <is>
          <t>Talpiot</t>
        </is>
      </c>
      <c r="G16" s="26" t="n"/>
      <c r="H16" s="28" t="inlineStr">
        <is>
          <t>Director Advisor, Ministry of Finance</t>
        </is>
      </c>
      <c r="I16" s="29" t="n"/>
      <c r="J16" s="26" t="inlineStr">
        <is>
          <t>product-gtm</t>
        </is>
      </c>
      <c r="K16" s="36" t="inlineStr">
        <is>
          <t>B</t>
        </is>
      </c>
      <c r="L16" s="29" t="n"/>
      <c r="M16" s="33" t="n"/>
      <c r="N16" s="33" t="n"/>
      <c r="O16" s="33" t="n"/>
      <c r="P16" s="34" t="n"/>
      <c r="Q16" s="29" t="n"/>
      <c r="R16" s="33" t="n"/>
      <c r="S16" s="34" t="n"/>
      <c r="T16" s="26" t="inlineStr">
        <is>
          <t>https://www.linkedin.com/in/nadav-zemach-477a42365/</t>
        </is>
      </c>
      <c r="U16" s="29" t="n"/>
      <c r="V16" s="29" t="n"/>
      <c r="W16" s="28" t="inlineStr">
        <is>
          <t>Government finance advisor - not a technical fit for a founding team. Separately valuable for sovereign-AI / regulatory / grant angles.</t>
        </is>
      </c>
      <c r="X16" s="33" t="n"/>
    </row>
    <row r="17" ht="30" customHeight="1">
      <c r="A17" s="26" t="n">
        <v>16</v>
      </c>
      <c r="B17" s="26" t="inlineStr">
        <is>
          <t>Nir Yaron</t>
        </is>
      </c>
      <c r="C17" s="29" t="n"/>
      <c r="D17" s="26" t="inlineStr">
        <is>
          <t>#1</t>
        </is>
      </c>
      <c r="E17" s="26" t="n"/>
      <c r="F17" s="26" t="inlineStr">
        <is>
          <t>Talpiot</t>
        </is>
      </c>
      <c r="G17" s="26" t="n"/>
      <c r="H17" s="28" t="inlineStr">
        <is>
          <t>Unknown</t>
        </is>
      </c>
      <c r="I17" s="29" t="n"/>
      <c r="J17" s="26" t="n"/>
      <c r="K17" s="35" t="inlineStr">
        <is>
          <t>C</t>
        </is>
      </c>
      <c r="L17" s="29" t="n"/>
      <c r="M17" s="33" t="n"/>
      <c r="N17" s="33" t="n"/>
      <c r="O17" s="33" t="n"/>
      <c r="P17" s="34" t="n"/>
      <c r="Q17" s="29" t="n"/>
      <c r="R17" s="33" t="n"/>
      <c r="S17" s="34" t="n"/>
      <c r="T17" s="26" t="inlineStr">
        <is>
          <t>https://www.linkedin.com/in/nir-yaron-886051241</t>
        </is>
      </c>
      <c r="U17" s="29" t="n"/>
      <c r="V17" s="29" t="n"/>
      <c r="W17" s="28" t="inlineStr">
        <is>
          <t>No role data in roster/alumni page and no reliable public technical record found.</t>
        </is>
      </c>
      <c r="X17" s="33" t="n"/>
    </row>
    <row r="18" ht="30" customHeight="1">
      <c r="A18" s="26" t="n">
        <v>15</v>
      </c>
      <c r="B18" s="26" t="inlineStr">
        <is>
          <t>Noy Duany</t>
        </is>
      </c>
      <c r="C18" s="29" t="n"/>
      <c r="D18" s="26" t="inlineStr">
        <is>
          <t>#1</t>
        </is>
      </c>
      <c r="E18" s="26" t="n"/>
      <c r="F18" s="26" t="inlineStr">
        <is>
          <t>ARAM</t>
        </is>
      </c>
      <c r="G18" s="26" t="inlineStr">
        <is>
          <t>Hopper Security</t>
        </is>
      </c>
      <c r="H18" s="28" t="inlineStr">
        <is>
          <t>R&amp;D Team Lead</t>
        </is>
      </c>
      <c r="I18" s="29" t="n"/>
      <c r="J18" s="26" t="inlineStr">
        <is>
          <t>security</t>
        </is>
      </c>
      <c r="K18" s="36" t="inlineStr">
        <is>
          <t>B</t>
        </is>
      </c>
      <c r="L18" s="29" t="n"/>
      <c r="M18" s="33" t="n"/>
      <c r="N18" s="33" t="n"/>
      <c r="O18" s="33" t="n"/>
      <c r="P18" s="34" t="n"/>
      <c r="Q18" s="29" t="n"/>
      <c r="R18" s="33" t="n"/>
      <c r="S18" s="34" t="n"/>
      <c r="T18" s="26" t="inlineStr">
        <is>
          <t>https://www.linkedin.com/in/noyduany/</t>
        </is>
      </c>
      <c r="U18" s="29" t="n"/>
      <c r="V18" s="29" t="n"/>
      <c r="W18" s="28" t="inlineStr">
        <is>
          <t>Cyber R&amp;D team lead. Solid engineer-leader, wrong domain.</t>
        </is>
      </c>
      <c r="X18" s="33" t="n"/>
    </row>
    <row r="19" ht="30" customHeight="1">
      <c r="A19" s="26" t="n">
        <v>2</v>
      </c>
      <c r="B19" s="26" t="inlineStr">
        <is>
          <t>Ohad Amosy</t>
        </is>
      </c>
      <c r="C19" s="29" t="n"/>
      <c r="D19" s="26" t="inlineStr">
        <is>
          <t>#1</t>
        </is>
      </c>
      <c r="E19" s="26" t="n"/>
      <c r="F19" s="26" t="inlineStr">
        <is>
          <t>Talpiot</t>
        </is>
      </c>
      <c r="G19" s="26" t="n"/>
      <c r="H19" s="28" t="inlineStr">
        <is>
          <t>AI-COE / ML researcher (Bar-Ilan, Chechik lab)</t>
        </is>
      </c>
      <c r="I19" s="29" t="n"/>
      <c r="J19" s="26" t="inlineStr">
        <is>
          <t>research</t>
        </is>
      </c>
      <c r="K19" s="36" t="inlineStr">
        <is>
          <t>B</t>
        </is>
      </c>
      <c r="L19" s="29" t="n"/>
      <c r="M19" s="33" t="n"/>
      <c r="N19" s="33" t="n"/>
      <c r="O19" s="33" t="n"/>
      <c r="P19" s="34" t="n"/>
      <c r="Q19" s="29" t="n"/>
      <c r="R19" s="33" t="n"/>
      <c r="S19" s="34" t="n"/>
      <c r="T19" s="26" t="inlineStr">
        <is>
          <t>https://il.linkedin.com/in/ohad-amosy</t>
        </is>
      </c>
      <c r="U19" s="29" t="n"/>
      <c r="V19" s="29" t="n"/>
      <c r="W19" s="28" t="inlineStr">
        <is>
          <t>Published ML researcher (WACV, EMNLP; federated learning, hypernetworks) incl. a neural-network-driven QAOA optimization paper and co-authorship with NVIDIA Research-affiliated lab. Strong optimization/ML brain for the control-policy side; no GPU systems or power production record.</t>
        </is>
      </c>
      <c r="X19" s="33" t="n"/>
    </row>
    <row r="20" ht="30" customHeight="1">
      <c r="A20" s="26" t="n">
        <v>17</v>
      </c>
      <c r="B20" s="26" t="inlineStr">
        <is>
          <t>Omer Hay</t>
        </is>
      </c>
      <c r="C20" s="29" t="n"/>
      <c r="D20" s="26" t="inlineStr">
        <is>
          <t>#1</t>
        </is>
      </c>
      <c r="E20" s="26" t="n"/>
      <c r="F20" s="26" t="inlineStr">
        <is>
          <t>Psagot</t>
        </is>
      </c>
      <c r="G20" s="26" t="n"/>
      <c r="H20" s="28" t="inlineStr">
        <is>
          <t>Software Engineer / R&amp;D Team Lead</t>
        </is>
      </c>
      <c r="I20" s="29" t="inlineStr">
        <is>
          <t>Israel</t>
        </is>
      </c>
      <c r="J20" s="26" t="inlineStr">
        <is>
          <t>infra-systems</t>
        </is>
      </c>
      <c r="K20" s="36" t="inlineStr">
        <is>
          <t>B</t>
        </is>
      </c>
      <c r="L20" s="29" t="n"/>
      <c r="M20" s="33" t="n"/>
      <c r="N20" s="33" t="n"/>
      <c r="O20" s="33" t="n"/>
      <c r="P20" s="34" t="n"/>
      <c r="Q20" s="29" t="n"/>
      <c r="R20" s="33" t="n"/>
      <c r="S20" s="34" t="n"/>
      <c r="T20" s="26" t="inlineStr">
        <is>
          <t>https://www.linkedin.com/in/hay-omer</t>
        </is>
      </c>
      <c r="U20" s="29" t="n"/>
      <c r="V20" s="29" t="n"/>
      <c r="W20" s="28" t="inlineStr">
        <is>
          <t>Generalist SWE/team lead. No domain evidence.</t>
        </is>
      </c>
      <c r="X20" s="33" t="n"/>
    </row>
    <row r="21" ht="30" customHeight="1">
      <c r="A21" s="26" t="n">
        <v>24</v>
      </c>
      <c r="B21" s="26" t="inlineStr">
        <is>
          <t>Rami Anati</t>
        </is>
      </c>
      <c r="C21" s="29" t="n"/>
      <c r="D21" s="26" t="inlineStr">
        <is>
          <t>#1</t>
        </is>
      </c>
      <c r="E21" s="26" t="n"/>
      <c r="F21" s="26" t="inlineStr">
        <is>
          <t>Talpiot</t>
        </is>
      </c>
      <c r="G21" s="26" t="n"/>
      <c r="H21" s="28" t="inlineStr">
        <is>
          <t>Team Lead / Back-End Project Manager</t>
        </is>
      </c>
      <c r="I21" s="29" t="n"/>
      <c r="J21" s="26" t="inlineStr">
        <is>
          <t>infra-systems</t>
        </is>
      </c>
      <c r="K21" s="36" t="inlineStr">
        <is>
          <t>B</t>
        </is>
      </c>
      <c r="L21" s="29" t="n"/>
      <c r="M21" s="33" t="n"/>
      <c r="N21" s="33" t="n"/>
      <c r="O21" s="33" t="n"/>
      <c r="P21" s="34" t="n"/>
      <c r="Q21" s="29" t="n"/>
      <c r="R21" s="33" t="n"/>
      <c r="S21" s="34" t="n"/>
      <c r="T21" s="26" t="inlineStr">
        <is>
          <t>https://www.linkedin.com/in/ramianati</t>
        </is>
      </c>
      <c r="U21" s="29" t="n"/>
      <c r="V21" s="29" t="n"/>
      <c r="W21" s="28" t="inlineStr">
        <is>
          <t>Backend team lead/PM. No domain evidence.</t>
        </is>
      </c>
      <c r="X21" s="33" t="n"/>
    </row>
    <row r="22" ht="30" customHeight="1">
      <c r="A22" s="26" t="n">
        <v>23</v>
      </c>
      <c r="B22" s="26" t="inlineStr">
        <is>
          <t>Roee Yaron</t>
        </is>
      </c>
      <c r="C22" s="29" t="n"/>
      <c r="D22" s="26" t="inlineStr">
        <is>
          <t>#1</t>
        </is>
      </c>
      <c r="E22" s="26" t="n"/>
      <c r="F22" s="26" t="inlineStr">
        <is>
          <t>Talpiot</t>
        </is>
      </c>
      <c r="G22" s="26" t="inlineStr">
        <is>
          <t>Ministry of Defense</t>
        </is>
      </c>
      <c r="H22" s="28" t="inlineStr">
        <is>
          <t>Physicist</t>
        </is>
      </c>
      <c r="I22" s="29" t="n"/>
      <c r="J22" s="26" t="inlineStr">
        <is>
          <t>quantum-physics</t>
        </is>
      </c>
      <c r="K22" s="36" t="inlineStr">
        <is>
          <t>B</t>
        </is>
      </c>
      <c r="L22" s="29" t="n"/>
      <c r="M22" s="33" t="n"/>
      <c r="N22" s="33" t="n"/>
      <c r="O22" s="33" t="n"/>
      <c r="P22" s="34" t="n"/>
      <c r="Q22" s="29" t="n"/>
      <c r="R22" s="33" t="n"/>
      <c r="S22" s="34" t="n"/>
      <c r="T22" s="26" t="n"/>
      <c r="U22" s="29" t="n"/>
      <c r="V22" s="29" t="n"/>
      <c r="W22" s="28" t="inlineStr">
        <is>
          <t>Defense physicist, Talpiot. Hard-science depth, no software-infrastructure record.</t>
        </is>
      </c>
      <c r="X22" s="33" t="n"/>
    </row>
    <row r="23" ht="30" customHeight="1">
      <c r="A23" s="26" t="n">
        <v>22</v>
      </c>
      <c r="B23" s="26" t="inlineStr">
        <is>
          <t>Ronen Tur</t>
        </is>
      </c>
      <c r="C23" s="29" t="n"/>
      <c r="D23" s="26" t="inlineStr">
        <is>
          <t>#1</t>
        </is>
      </c>
      <c r="E23" s="26" t="n"/>
      <c r="F23" s="26" t="inlineStr">
        <is>
          <t>Talpiot</t>
        </is>
      </c>
      <c r="G23" s="26" t="n"/>
      <c r="H23" s="28" t="inlineStr">
        <is>
          <t>Director of Algorithms &amp; Deep Learning</t>
        </is>
      </c>
      <c r="I23" s="29" t="n"/>
      <c r="J23" s="26" t="inlineStr">
        <is>
          <t>ai-ml</t>
        </is>
      </c>
      <c r="K23" s="36" t="inlineStr">
        <is>
          <t>B</t>
        </is>
      </c>
      <c r="L23" s="29" t="n"/>
      <c r="M23" s="33" t="n"/>
      <c r="N23" s="33" t="n"/>
      <c r="O23" s="33" t="n"/>
      <c r="P23" s="34" t="n"/>
      <c r="Q23" s="29" t="n"/>
      <c r="R23" s="33" t="n"/>
      <c r="S23" s="34" t="n"/>
      <c r="T23" s="26" t="inlineStr">
        <is>
          <t>https://www.linkedin.com/in/ronen-tur-641a0a18/</t>
        </is>
      </c>
      <c r="U23" s="29" t="n"/>
      <c r="V23" s="29" t="n"/>
      <c r="W23" s="28" t="inlineStr">
        <is>
          <t>Senior algorithms/DL leadership - relevant to the optimization brain of a power-control loop, but no public GPU/power specifics.</t>
        </is>
      </c>
      <c r="X23" s="33" t="n"/>
    </row>
    <row r="24" ht="30" customHeight="1">
      <c r="A24" s="26" t="n">
        <v>25</v>
      </c>
      <c r="B24" s="26" t="inlineStr">
        <is>
          <t>Shachar Cohen</t>
        </is>
      </c>
      <c r="C24" s="29" t="n"/>
      <c r="D24" s="26" t="inlineStr">
        <is>
          <t>#1</t>
        </is>
      </c>
      <c r="E24" s="26" t="n"/>
      <c r="F24" s="26" t="inlineStr">
        <is>
          <t>Talpiot</t>
        </is>
      </c>
      <c r="G24" s="26" t="n"/>
      <c r="H24" s="28" t="inlineStr">
        <is>
          <t>Software R&amp;D Engineer &amp; Manager</t>
        </is>
      </c>
      <c r="I24" s="29" t="n"/>
      <c r="J24" s="26" t="inlineStr">
        <is>
          <t>product-gtm</t>
        </is>
      </c>
      <c r="K24" s="36" t="inlineStr">
        <is>
          <t>B</t>
        </is>
      </c>
      <c r="L24" s="29" t="n"/>
      <c r="M24" s="33" t="n"/>
      <c r="N24" s="33" t="n"/>
      <c r="O24" s="33" t="n"/>
      <c r="P24" s="34" t="n"/>
      <c r="Q24" s="29" t="n"/>
      <c r="R24" s="33" t="n"/>
      <c r="S24" s="34" t="n"/>
      <c r="T24" s="26" t="inlineStr">
        <is>
          <t>https://www.linkedin.com/in/shachar-cohen-480b86205</t>
        </is>
      </c>
      <c r="U24" s="29" t="n"/>
      <c r="V24" s="29" t="n"/>
      <c r="W24" s="28" t="inlineStr">
        <is>
          <t>SW R&amp;D engineer/manager, Talpiot. No domain evidence.</t>
        </is>
      </c>
      <c r="X24" s="33" t="n"/>
    </row>
    <row r="25" ht="30" customHeight="1">
      <c r="A25" s="26" t="n">
        <v>26</v>
      </c>
      <c r="B25" s="26" t="inlineStr">
        <is>
          <t>Shai Elroy</t>
        </is>
      </c>
      <c r="C25" s="29" t="n"/>
      <c r="D25" s="26" t="inlineStr">
        <is>
          <t>#1</t>
        </is>
      </c>
      <c r="E25" s="26" t="n"/>
      <c r="F25" s="26" t="inlineStr">
        <is>
          <t>Psagot</t>
        </is>
      </c>
      <c r="G25" s="26" t="n"/>
      <c r="H25" s="28" t="inlineStr">
        <is>
          <t>R&amp;D Team Lead, Cyber</t>
        </is>
      </c>
      <c r="I25" s="29" t="n"/>
      <c r="J25" s="26" t="inlineStr">
        <is>
          <t>security</t>
        </is>
      </c>
      <c r="K25" s="36" t="inlineStr">
        <is>
          <t>B</t>
        </is>
      </c>
      <c r="L25" s="29" t="n"/>
      <c r="M25" s="33" t="n"/>
      <c r="N25" s="33" t="n"/>
      <c r="O25" s="33" t="n"/>
      <c r="P25" s="34" t="n"/>
      <c r="Q25" s="29" t="n"/>
      <c r="R25" s="33" t="n"/>
      <c r="S25" s="34" t="n"/>
      <c r="T25" s="26" t="inlineStr">
        <is>
          <t>https://www.linkedin.com/in/shai-elroy</t>
        </is>
      </c>
      <c r="U25" s="29" t="n"/>
      <c r="V25" s="29" t="n"/>
      <c r="W25" s="28" t="inlineStr">
        <is>
          <t>Cyber R&amp;D team lead. Wrong domain.</t>
        </is>
      </c>
      <c r="X25" s="33" t="n"/>
    </row>
    <row r="26" ht="30" customHeight="1">
      <c r="A26" s="26" t="n">
        <v>3</v>
      </c>
      <c r="B26" s="26" t="inlineStr">
        <is>
          <t>Uri Shaked</t>
        </is>
      </c>
      <c r="C26" s="29" t="n"/>
      <c r="D26" s="26" t="inlineStr">
        <is>
          <t>#1</t>
        </is>
      </c>
      <c r="E26" s="26" t="n"/>
      <c r="F26" s="26" t="inlineStr">
        <is>
          <t>ARAM / Founder</t>
        </is>
      </c>
      <c r="G26" s="26" t="n"/>
      <c r="H26" s="28" t="inlineStr">
        <is>
          <t>Founder, Wokwi + TinyTapeout</t>
        </is>
      </c>
      <c r="I26" s="29" t="n"/>
      <c r="J26" s="26" t="inlineStr">
        <is>
          <t>hardware-embedded</t>
        </is>
      </c>
      <c r="K26" s="32" t="inlineStr">
        <is>
          <t>A</t>
        </is>
      </c>
      <c r="L26" s="29" t="n"/>
      <c r="M26" s="33" t="n"/>
      <c r="N26" s="33" t="n"/>
      <c r="O26" s="33" t="n"/>
      <c r="P26" s="34" t="n"/>
      <c r="Q26" s="29" t="n"/>
      <c r="R26" s="33" t="n"/>
      <c r="S26" s="34" t="n"/>
      <c r="T26" s="26" t="inlineStr">
        <is>
          <t>https://www.linkedin.com/in/urishaked/</t>
        </is>
      </c>
      <c r="U26" s="29" t="n"/>
      <c r="V26" s="29" t="n"/>
      <c r="W26" s="28" t="inlineStr">
        <is>
          <t>Built Wokwi (embedded/silicon simulation) and active in open silicon (TinyTapeout) - rare HW/SW boundary depth, exactly the instinct a firmware-adjacent power layer needs. No GPU DVFS/data-center record; committed to his own products. Best used as technical advisor.</t>
        </is>
      </c>
      <c r="X26" s="33" t="n"/>
    </row>
    <row r="27" ht="30" customHeight="1">
      <c r="A27" s="26" t="n">
        <v>21</v>
      </c>
      <c r="B27" s="26" t="inlineStr">
        <is>
          <t>Zvi Wexlstein</t>
        </is>
      </c>
      <c r="C27" s="29" t="n"/>
      <c r="D27" s="26" t="inlineStr">
        <is>
          <t>#1</t>
        </is>
      </c>
      <c r="E27" s="26" t="inlineStr">
        <is>
          <t>yes</t>
        </is>
      </c>
      <c r="F27" s="26" t="inlineStr">
        <is>
          <t>ARAM</t>
        </is>
      </c>
      <c r="G27" s="26" t="n"/>
      <c r="H27" s="28" t="inlineStr">
        <is>
          <t>Software Architect, Polar (IBM)</t>
        </is>
      </c>
      <c r="I27" s="29" t="n"/>
      <c r="J27" s="26" t="inlineStr">
        <is>
          <t>infra-systems</t>
        </is>
      </c>
      <c r="K27" s="32" t="inlineStr">
        <is>
          <t>A</t>
        </is>
      </c>
      <c r="L27" s="29" t="n"/>
      <c r="M27" s="33" t="n"/>
      <c r="N27" s="33" t="n"/>
      <c r="O27" s="33" t="n"/>
      <c r="P27" s="34" t="n"/>
      <c r="Q27" s="29" t="n"/>
      <c r="R27" s="33" t="n"/>
      <c r="S27" s="34" t="n"/>
      <c r="T27" s="26" t="inlineStr">
        <is>
          <t>https://www.linkedin.com/in/zvi-wexlstein</t>
        </is>
      </c>
      <c r="U27" s="29" t="inlineStr">
        <is>
          <t>zviwex@gmail.com</t>
        </is>
      </c>
      <c r="V27" s="29" t="n"/>
      <c r="W27" s="28" t="inlineStr">
        <is>
          <t>Software architect at Polar/IBM; Founder Track signal. Solid architect, no power/GPU record.</t>
        </is>
      </c>
      <c r="X27" s="33" t="inlineStr">
        <is>
          <t>[dex import] tags: Fireside Chat</t>
        </is>
      </c>
    </row>
    <row r="28" ht="30" customHeight="1">
      <c r="A28" s="26" t="n">
        <v>30</v>
      </c>
      <c r="B28" s="26" t="inlineStr">
        <is>
          <t>Almog Zer</t>
        </is>
      </c>
      <c r="C28" s="29" t="n"/>
      <c r="D28" s="26" t="inlineStr">
        <is>
          <t>#2</t>
        </is>
      </c>
      <c r="E28" s="26" t="n"/>
      <c r="F28" s="26" t="inlineStr">
        <is>
          <t>Psagot</t>
        </is>
      </c>
      <c r="G28" s="26" t="inlineStr">
        <is>
          <t>Stealth</t>
        </is>
      </c>
      <c r="H28" s="28" t="inlineStr">
        <is>
          <t>R&amp;D Group Lead</t>
        </is>
      </c>
      <c r="I28" s="29" t="inlineStr">
        <is>
          <t>Israel</t>
        </is>
      </c>
      <c r="J28" s="26" t="n"/>
      <c r="K28" s="32" t="inlineStr">
        <is>
          <t>A</t>
        </is>
      </c>
      <c r="L28" s="29" t="n"/>
      <c r="M28" s="33" t="n"/>
      <c r="N28" s="33" t="n"/>
      <c r="O28" s="33" t="n"/>
      <c r="P28" s="34" t="n"/>
      <c r="Q28" s="29" t="n"/>
      <c r="R28" s="33" t="n"/>
      <c r="S28" s="34" t="n"/>
      <c r="T28" s="26" t="inlineStr">
        <is>
          <t>https://www.linkedin.com/in/almog-zer-865897118</t>
        </is>
      </c>
      <c r="U28" s="29" t="inlineStr">
        <is>
          <t>almogx3@gmail.com</t>
        </is>
      </c>
      <c r="V28" s="29" t="inlineStr">
        <is>
          <t>+972507363131</t>
        </is>
      </c>
      <c r="W28" s="28" t="inlineStr">
        <is>
          <t>Group lead at stealth - domain unknown, availability low.</t>
        </is>
      </c>
      <c r="X28" s="33" t="inlineStr">
        <is>
          <t>[dex import] military course: טו · met with: Can help Apex · warm intro via: Lutati · education: פסגות · tags: Fireside Chat,Signed To Apex,Apex Newsletter,Watchlist,25/2/2026 - Closing Event,Apex Grad</t>
        </is>
      </c>
    </row>
    <row r="29" ht="30" customHeight="1">
      <c r="A29" s="26" t="n">
        <v>27</v>
      </c>
      <c r="B29" s="26" t="inlineStr">
        <is>
          <t>Aviel Zecharia</t>
        </is>
      </c>
      <c r="C29" s="29" t="n"/>
      <c r="D29" s="26" t="inlineStr">
        <is>
          <t>#2</t>
        </is>
      </c>
      <c r="E29" s="26" t="n"/>
      <c r="F29" s="26" t="inlineStr">
        <is>
          <t>ARAM</t>
        </is>
      </c>
      <c r="G29" s="26" t="inlineStr">
        <is>
          <t>Palo Alto Networks</t>
        </is>
      </c>
      <c r="H29" s="28" t="inlineStr">
        <is>
          <t>Architect</t>
        </is>
      </c>
      <c r="I29" s="29" t="inlineStr">
        <is>
          <t>Rishon LeZion, Israel</t>
        </is>
      </c>
      <c r="J29" s="26" t="inlineStr">
        <is>
          <t>security</t>
        </is>
      </c>
      <c r="K29" s="36" t="inlineStr">
        <is>
          <t>B</t>
        </is>
      </c>
      <c r="L29" s="29" t="n"/>
      <c r="M29" s="33" t="n"/>
      <c r="N29" s="33" t="n"/>
      <c r="O29" s="33" t="n"/>
      <c r="P29" s="34" t="n"/>
      <c r="Q29" s="29" t="n"/>
      <c r="R29" s="33" t="n"/>
      <c r="S29" s="34" t="n"/>
      <c r="T29" s="26" t="inlineStr">
        <is>
          <t>https://www.linkedin.com/in/aviel-zecharia-832a66131/</t>
        </is>
      </c>
      <c r="U29" s="29" t="inlineStr">
        <is>
          <t>avielz1199@gmail.com</t>
        </is>
      </c>
      <c r="V29" s="29" t="inlineStr">
        <is>
          <t>+972547260058</t>
        </is>
      </c>
      <c r="W29" s="28" t="inlineStr">
        <is>
          <t>Security architect at PAN. Strong engineer, security domain.</t>
        </is>
      </c>
      <c r="X29" s="33" t="inlineStr">
        <is>
          <t>[dex import] military course: 20 · education: אר"ם · tags: 25/2/2026 - Closing Event,Fireside Chat,Apex Newsletter,Signed To Apex,Architect Cohort #2,Apex Grad</t>
        </is>
      </c>
    </row>
    <row r="30" ht="30" customHeight="1">
      <c r="A30" s="26" t="n">
        <v>33</v>
      </c>
      <c r="B30" s="26" t="inlineStr">
        <is>
          <t>Bar Matityahu</t>
        </is>
      </c>
      <c r="C30" s="29" t="n"/>
      <c r="D30" s="26" t="inlineStr">
        <is>
          <t>#2</t>
        </is>
      </c>
      <c r="E30" s="26" t="n"/>
      <c r="F30" s="26" t="inlineStr">
        <is>
          <t>Psagot</t>
        </is>
      </c>
      <c r="G30" s="26" t="inlineStr">
        <is>
          <t>Stealth</t>
        </is>
      </c>
      <c r="H30" s="28" t="inlineStr">
        <is>
          <t>Founder</t>
        </is>
      </c>
      <c r="I30" s="29" t="inlineStr">
        <is>
          <t>Tel-Aviv District, Israel</t>
        </is>
      </c>
      <c r="J30" s="26" t="n"/>
      <c r="K30" s="32" t="inlineStr">
        <is>
          <t>A</t>
        </is>
      </c>
      <c r="L30" s="29" t="n"/>
      <c r="M30" s="33" t="n"/>
      <c r="N30" s="33" t="n"/>
      <c r="O30" s="33" t="n"/>
      <c r="P30" s="34" t="n"/>
      <c r="Q30" s="29" t="n"/>
      <c r="R30" s="33" t="n"/>
      <c r="S30" s="34" t="n"/>
      <c r="T30" s="26" t="inlineStr">
        <is>
          <t>https://www.linkedin.com/in/bar-matityahu</t>
        </is>
      </c>
      <c r="U30" s="29" t="inlineStr">
        <is>
          <t>barmatit@gmail.com</t>
        </is>
      </c>
      <c r="V30" s="29" t="inlineStr">
        <is>
          <t>+972525892000</t>
        </is>
      </c>
      <c r="W30" s="28" t="inlineStr">
        <is>
          <t>Stealth founder - unknowable and unavailable.</t>
        </is>
      </c>
      <c r="X30" s="33" t="inlineStr">
        <is>
          <t>[dex import] military course: מחזור י - חשמל פיזיקה טכניון · education: פסגות · tags: 25/2/2026 - Closing Event,Fireside Chat,Apex Newsletter,Signed To Apex,Architect Cohort #2,Apex Grad</t>
        </is>
      </c>
    </row>
    <row r="31" ht="30" customHeight="1">
      <c r="A31" s="26" t="n">
        <v>32</v>
      </c>
      <c r="B31" s="26" t="inlineStr">
        <is>
          <t>Benny Rousso</t>
        </is>
      </c>
      <c r="C31" s="29" t="n"/>
      <c r="D31" s="26" t="inlineStr">
        <is>
          <t>#2</t>
        </is>
      </c>
      <c r="E31" s="26" t="n"/>
      <c r="F31" s="26" t="inlineStr">
        <is>
          <t>Talpiot</t>
        </is>
      </c>
      <c r="G31" s="26" t="inlineStr">
        <is>
          <t>Xcardia</t>
        </is>
      </c>
      <c r="H31" s="28" t="inlineStr">
        <is>
          <t>CEO &amp; Founder</t>
        </is>
      </c>
      <c r="I31" s="29" t="inlineStr">
        <is>
          <t>Tel Aviv, Tel-Aviv District, Israel</t>
        </is>
      </c>
      <c r="J31" s="26" t="inlineStr">
        <is>
          <t>health-bio</t>
        </is>
      </c>
      <c r="K31" s="32" t="inlineStr">
        <is>
          <t>A</t>
        </is>
      </c>
      <c r="L31" s="29" t="n"/>
      <c r="M31" s="33" t="n"/>
      <c r="N31" s="33" t="n"/>
      <c r="O31" s="33" t="n"/>
      <c r="P31" s="34" t="n"/>
      <c r="Q31" s="29" t="n"/>
      <c r="R31" s="33" t="n"/>
      <c r="S31" s="34" t="n"/>
      <c r="T31" s="26" t="inlineStr">
        <is>
          <t>http://linkedin.com/in/benny-rousso-27832b32b</t>
        </is>
      </c>
      <c r="U31" s="29" t="inlineStr">
        <is>
          <t>rousso.benny@gmail.com</t>
        </is>
      </c>
      <c r="V31" s="29" t="inlineStr">
        <is>
          <t>+972544345653</t>
        </is>
      </c>
      <c r="W31" s="28" t="inlineStr">
        <is>
          <t>Founder-CEO in medical imaging. Founder DNA, wrong domain, committed.</t>
        </is>
      </c>
      <c r="X31" s="33" t="inlineStr">
        <is>
          <t>[dex import] military course: 9 · education: תלפיות · tags: 25/2/2026 - Closing Event,Fireside Chat,Apex Newsletter,Signed To Apex,Architect Cohort #2,Apex Grad</t>
        </is>
      </c>
    </row>
    <row r="32" ht="30" customHeight="1">
      <c r="A32" s="26" t="n">
        <v>31</v>
      </c>
      <c r="B32" s="26" t="inlineStr">
        <is>
          <t>Benzion Kossowsky</t>
        </is>
      </c>
      <c r="C32" s="29" t="n"/>
      <c r="D32" s="26" t="inlineStr">
        <is>
          <t>#2</t>
        </is>
      </c>
      <c r="E32" s="26" t="n"/>
      <c r="F32" s="26" t="inlineStr">
        <is>
          <t>ARAM</t>
        </is>
      </c>
      <c r="G32" s="26" t="n"/>
      <c r="H32" s="28" t="inlineStr">
        <is>
          <t>OneStep</t>
        </is>
      </c>
      <c r="I32" s="29" t="inlineStr">
        <is>
          <t>West Jerusalem, Jerusalem District, Israel</t>
        </is>
      </c>
      <c r="J32" s="26" t="n"/>
      <c r="K32" s="35" t="inlineStr">
        <is>
          <t>C</t>
        </is>
      </c>
      <c r="L32" s="29" t="n"/>
      <c r="M32" s="33" t="n"/>
      <c r="N32" s="33" t="n"/>
      <c r="O32" s="33" t="n"/>
      <c r="P32" s="34" t="n"/>
      <c r="Q32" s="29" t="n"/>
      <c r="R32" s="33" t="n"/>
      <c r="S32" s="34" t="n"/>
      <c r="T32" s="26" t="inlineStr">
        <is>
          <t>https://www.linkedin.com/in/benzionkossowsky</t>
        </is>
      </c>
      <c r="U32" s="29" t="inlineStr">
        <is>
          <t>benzionkossowsky@gmail.com</t>
        </is>
      </c>
      <c r="V32" s="29" t="inlineStr">
        <is>
          <t>+972543315821</t>
        </is>
      </c>
      <c r="W32" s="28" t="inlineStr">
        <is>
          <t>At OneStep (digital health/motion analysis). No domain evidence.</t>
        </is>
      </c>
      <c r="X32" s="33" t="inlineStr">
        <is>
          <t>[dex import] military course: 22 · education: אר״מ · tags: Fireside Chat,Apex Newsletter,Signed To Apex,25/2/2026 - Closing Event,Architect Cohort #2,Apex Grad</t>
        </is>
      </c>
    </row>
    <row r="33" ht="30" customHeight="1">
      <c r="A33" s="26" t="n">
        <v>28</v>
      </c>
      <c r="B33" s="26" t="inlineStr">
        <is>
          <t>Eyal Horowicz</t>
        </is>
      </c>
      <c r="C33" s="29" t="n"/>
      <c r="D33" s="26" t="inlineStr">
        <is>
          <t>#2</t>
        </is>
      </c>
      <c r="E33" s="26" t="n"/>
      <c r="F33" s="26" t="inlineStr">
        <is>
          <t>Talpiot</t>
        </is>
      </c>
      <c r="G33" s="26" t="inlineStr">
        <is>
          <t>Claroty (DS Team Leader per roster)</t>
        </is>
      </c>
      <c r="H33" s="28" t="inlineStr">
        <is>
          <t>Senior SWE</t>
        </is>
      </c>
      <c r="I33" s="29" t="inlineStr">
        <is>
          <t>Tel-Aviv District, Israel</t>
        </is>
      </c>
      <c r="J33" s="26" t="inlineStr">
        <is>
          <t>security</t>
        </is>
      </c>
      <c r="K33" s="36" t="inlineStr">
        <is>
          <t>B</t>
        </is>
      </c>
      <c r="L33" s="29" t="n"/>
      <c r="M33" s="33" t="n"/>
      <c r="N33" s="33" t="n"/>
      <c r="O33" s="33" t="n"/>
      <c r="P33" s="34" t="n"/>
      <c r="Q33" s="29" t="n"/>
      <c r="R33" s="33" t="n"/>
      <c r="S33" s="34" t="n"/>
      <c r="T33" s="26" t="inlineStr">
        <is>
          <t>https://www.linkedin.com/in/eyal-horowicz</t>
        </is>
      </c>
      <c r="U33" s="29" t="inlineStr">
        <is>
          <t>eyalhoro6@gmail.com</t>
        </is>
      </c>
      <c r="V33" s="29" t="inlineStr">
        <is>
          <t>+972506228892</t>
        </is>
      </c>
      <c r="W33" s="28" t="inlineStr">
        <is>
          <t>Senior engineer at Claroty (OT/ICS security) - adjacent to industrial control environments, but security-side, not performance/power.</t>
        </is>
      </c>
      <c r="X33" s="33" t="inlineStr">
        <is>
          <t>[dex import] military course: 36 · education: תלפיות · tags: Fireside Chat,Apex Newsletter,Signed To Apex,25/2/2026 - Closing Event,Architect Cohort #2,Apex Grad</t>
        </is>
      </c>
    </row>
    <row r="34" ht="30" customHeight="1">
      <c r="A34" s="26" t="n">
        <v>36</v>
      </c>
      <c r="B34" s="26" t="inlineStr">
        <is>
          <t>Gal Wiernik</t>
        </is>
      </c>
      <c r="C34" s="29" t="n"/>
      <c r="D34" s="26" t="inlineStr">
        <is>
          <t>#2</t>
        </is>
      </c>
      <c r="E34" s="26" t="n"/>
      <c r="F34" s="26" t="inlineStr">
        <is>
          <t>Arazim</t>
        </is>
      </c>
      <c r="G34" s="26" t="inlineStr">
        <is>
          <t>Edwin</t>
        </is>
      </c>
      <c r="H34" s="28" t="inlineStr">
        <is>
          <t>CTO</t>
        </is>
      </c>
      <c r="I34" s="29" t="inlineStr">
        <is>
          <t>Tel Aviv, Tel-Aviv District, Israel</t>
        </is>
      </c>
      <c r="J34" s="26" t="inlineStr">
        <is>
          <t>ai-ml</t>
        </is>
      </c>
      <c r="K34" s="32" t="inlineStr">
        <is>
          <t>A</t>
        </is>
      </c>
      <c r="L34" s="29" t="n"/>
      <c r="M34" s="33" t="n"/>
      <c r="N34" s="33" t="n"/>
      <c r="O34" s="33" t="n"/>
      <c r="P34" s="34" t="n"/>
      <c r="Q34" s="29" t="n"/>
      <c r="R34" s="33" t="n"/>
      <c r="S34" s="34" t="n"/>
      <c r="T34" s="26" t="inlineStr">
        <is>
          <t>https://www.linkedin.com/in/galwiernik</t>
        </is>
      </c>
      <c r="U34" s="29" t="inlineStr">
        <is>
          <t>galwiernik@gmail.com</t>
        </is>
      </c>
      <c r="V34" s="29" t="inlineStr">
        <is>
          <t>+972502338655</t>
        </is>
      </c>
      <c r="W34" s="28" t="inlineStr">
        <is>
          <t>Genuine HPC pedigree: co-author of an IPDPS 2024 paper on fast, stable matrix multiplication - performance engineering of the exact kernels GPUs burn watts on - plus AI-infra experience and TAU research excellence awards. Now CTO at Edwin, so likely unavailable; skills-wise the top available-market operator in the roster.</t>
        </is>
      </c>
      <c r="X34" s="33" t="inlineStr">
        <is>
          <t>[dex import] military course: ארזים ט׳ · met with: NA · education: ארזים · tags: Apex Newsletter,Signed To Apex,25/2/2026 - Closing Event,Architect Cohort #2,Fireside Chat,Apex Grad</t>
        </is>
      </c>
    </row>
    <row r="35" ht="30" customHeight="1">
      <c r="A35" s="26" t="n">
        <v>35</v>
      </c>
      <c r="B35" s="26" t="inlineStr">
        <is>
          <t>Gil Raytan</t>
        </is>
      </c>
      <c r="C35" s="29" t="n"/>
      <c r="D35" s="26" t="inlineStr">
        <is>
          <t>#2</t>
        </is>
      </c>
      <c r="E35" s="26" t="n"/>
      <c r="F35" s="26" t="inlineStr">
        <is>
          <t>Psagot</t>
        </is>
      </c>
      <c r="G35" s="26" t="inlineStr">
        <is>
          <t>Remitly (AI/ML)</t>
        </is>
      </c>
      <c r="H35" s="28" t="inlineStr">
        <is>
          <t>Director of Engineering</t>
        </is>
      </c>
      <c r="I35" s="29" t="inlineStr">
        <is>
          <t>Israel</t>
        </is>
      </c>
      <c r="J35" s="26" t="inlineStr">
        <is>
          <t>ai-ml</t>
        </is>
      </c>
      <c r="K35" s="36" t="inlineStr">
        <is>
          <t>B</t>
        </is>
      </c>
      <c r="L35" s="29" t="n"/>
      <c r="M35" s="33" t="n"/>
      <c r="N35" s="33" t="n"/>
      <c r="O35" s="33" t="n"/>
      <c r="P35" s="34" t="n"/>
      <c r="Q35" s="29" t="n"/>
      <c r="R35" s="33" t="n"/>
      <c r="S35" s="34" t="n"/>
      <c r="T35" s="26" t="inlineStr">
        <is>
          <t>https://www.linkedin.com/in/gil-raytan/</t>
        </is>
      </c>
      <c r="U35" s="29" t="inlineStr">
        <is>
          <t>gil.raytan@gmail.com</t>
        </is>
      </c>
      <c r="V35" s="29" t="inlineStr">
        <is>
          <t>+972544322242</t>
        </is>
      </c>
      <c r="W35" s="28" t="inlineStr">
        <is>
          <t>Eng leadership over AI/ML at fintech scale. VP-Eng-later-stage profile, not founding GPU-systems fit.</t>
        </is>
      </c>
      <c r="X35" s="33" t="inlineStr">
        <is>
          <t>[dex import] military course: ט · education: פסגות · tags: 25/2/2026 - Closing Event,Fireside Chat,Apex Newsletter,Signed To Apex,Architect Cohort #2,Apex Grad</t>
        </is>
      </c>
    </row>
    <row r="36" ht="30" customHeight="1">
      <c r="A36" s="26" t="n">
        <v>34</v>
      </c>
      <c r="B36" s="26" t="inlineStr">
        <is>
          <t>Guy Yoshpe</t>
        </is>
      </c>
      <c r="C36" s="29" t="n"/>
      <c r="D36" s="26" t="inlineStr">
        <is>
          <t>#2</t>
        </is>
      </c>
      <c r="E36" s="26" t="n"/>
      <c r="F36" s="26" t="inlineStr">
        <is>
          <t>ARAM</t>
        </is>
      </c>
      <c r="G36" s="26" t="inlineStr">
        <is>
          <t>Wiz</t>
        </is>
      </c>
      <c r="H36" s="28" t="inlineStr">
        <is>
          <t>Building</t>
        </is>
      </c>
      <c r="I36" s="29" t="inlineStr">
        <is>
          <t>Israel</t>
        </is>
      </c>
      <c r="J36" s="26" t="inlineStr">
        <is>
          <t>security</t>
        </is>
      </c>
      <c r="K36" s="32" t="inlineStr">
        <is>
          <t>A</t>
        </is>
      </c>
      <c r="L36" s="29" t="n"/>
      <c r="M36" s="33" t="n"/>
      <c r="N36" s="33" t="n"/>
      <c r="O36" s="33" t="n"/>
      <c r="P36" s="34" t="n"/>
      <c r="Q36" s="29" t="n"/>
      <c r="R36" s="33" t="n"/>
      <c r="S36" s="34" t="n"/>
      <c r="T36" s="26" t="inlineStr">
        <is>
          <t>https://www.linkedin.com/in/yoshpe</t>
        </is>
      </c>
      <c r="U36" s="29" t="inlineStr">
        <is>
          <t>yoshpe@gmail.com</t>
        </is>
      </c>
      <c r="V36" s="29" t="inlineStr">
        <is>
          <t>+972508717313</t>
        </is>
      </c>
      <c r="W36" s="28" t="inlineStr">
        <is>
          <t>Proven founder-CTO now at Wiz. Elite cloud engineering environment; application/cloud layer rather than GPU/power systems.</t>
        </is>
      </c>
      <c r="X36" s="33" t="n"/>
    </row>
    <row r="37" ht="30" customHeight="1">
      <c r="A37" s="26" t="n">
        <v>37</v>
      </c>
      <c r="B37" s="26" t="inlineStr">
        <is>
          <t>Hila Shmuel</t>
        </is>
      </c>
      <c r="C37" s="29" t="n"/>
      <c r="D37" s="26" t="inlineStr">
        <is>
          <t>#2</t>
        </is>
      </c>
      <c r="E37" s="26" t="n"/>
      <c r="F37" s="26" t="inlineStr">
        <is>
          <t>ARAM</t>
        </is>
      </c>
      <c r="G37" s="26" t="inlineStr">
        <is>
          <t>Cabinet (AI workspace)</t>
        </is>
      </c>
      <c r="H37" s="28" t="inlineStr">
        <is>
          <t>Co-Founder</t>
        </is>
      </c>
      <c r="I37" s="29" t="inlineStr">
        <is>
          <t>Tel-Aviv District, Israel</t>
        </is>
      </c>
      <c r="J37" s="26" t="inlineStr">
        <is>
          <t>ai-ml</t>
        </is>
      </c>
      <c r="K37" s="32" t="inlineStr">
        <is>
          <t>A</t>
        </is>
      </c>
      <c r="L37" s="29" t="n"/>
      <c r="M37" s="33" t="n"/>
      <c r="N37" s="33" t="n"/>
      <c r="O37" s="33" t="n"/>
      <c r="P37" s="34" t="n"/>
      <c r="Q37" s="29" t="n"/>
      <c r="R37" s="33" t="n"/>
      <c r="S37" s="34" t="n"/>
      <c r="T37" s="26" t="inlineStr">
        <is>
          <t>https://www.linkedin.com/in/hilashmuel/</t>
        </is>
      </c>
      <c r="U37" s="29" t="inlineStr">
        <is>
          <t>hila4321@gmail.com</t>
        </is>
      </c>
      <c r="V37" s="29" t="inlineStr">
        <is>
          <t>+972508871171</t>
        </is>
      </c>
      <c r="W37" s="28" t="inlineStr">
        <is>
          <t>AI-product founder. Founder DNA, committed, different layer of the stack.</t>
        </is>
      </c>
      <c r="X37" s="33" t="inlineStr">
        <is>
          <t>[dex import] military course: יב · met with: Raised · education: אר״מ · tags: Fireside Chat,Apex Newsletter,Signed To Apex,25/2/2026 - Closing Event,Apex Grad</t>
        </is>
      </c>
    </row>
    <row r="38" ht="30" customHeight="1">
      <c r="A38" s="26" t="n">
        <v>51</v>
      </c>
      <c r="B38" s="26" t="inlineStr">
        <is>
          <t>Iddan Golomb</t>
        </is>
      </c>
      <c r="C38" s="29" t="n"/>
      <c r="D38" s="26" t="inlineStr">
        <is>
          <t>#2</t>
        </is>
      </c>
      <c r="E38" s="26" t="n"/>
      <c r="F38" s="26" t="inlineStr">
        <is>
          <t>Talpiot</t>
        </is>
      </c>
      <c r="G38" s="26" t="inlineStr">
        <is>
          <t>Sayata</t>
        </is>
      </c>
      <c r="H38" s="28" t="inlineStr">
        <is>
          <t>Co-Founder &amp; CPO</t>
        </is>
      </c>
      <c r="I38" s="29" t="inlineStr">
        <is>
          <t>Israel</t>
        </is>
      </c>
      <c r="J38" s="26" t="inlineStr">
        <is>
          <t>product-gtm</t>
        </is>
      </c>
      <c r="K38" s="32" t="inlineStr">
        <is>
          <t>A</t>
        </is>
      </c>
      <c r="L38" s="29" t="n"/>
      <c r="M38" s="33" t="n"/>
      <c r="N38" s="33" t="n"/>
      <c r="O38" s="33" t="n"/>
      <c r="P38" s="34" t="n"/>
      <c r="Q38" s="29" t="n"/>
      <c r="R38" s="33" t="n"/>
      <c r="S38" s="34" t="n"/>
      <c r="T38" s="26" t="inlineStr">
        <is>
          <t>https://www.linkedin.com/in/iddangolomb/</t>
        </is>
      </c>
      <c r="U38" s="29" t="inlineStr">
        <is>
          <t>igolomb@gmail.com</t>
        </is>
      </c>
      <c r="V38" s="29" t="inlineStr">
        <is>
          <t>+972542421974</t>
        </is>
      </c>
      <c r="W38" s="28" t="inlineStr">
        <is>
          <t>Product co-founder. Founder DNA, committed, product-side.</t>
        </is>
      </c>
      <c r="X38" s="33" t="inlineStr">
        <is>
          <t>[dex import] military course: 25 · education: תלפיות · tags: 25/2/2026 - Closing Event,Fireside Chat,Apex Newsletter,Signed To Apex,Architect Cohort #2,Apex Grad</t>
        </is>
      </c>
    </row>
    <row r="39" ht="30" customHeight="1">
      <c r="A39" s="26" t="n">
        <v>50</v>
      </c>
      <c r="B39" s="26" t="inlineStr">
        <is>
          <t>Ido Kazma</t>
        </is>
      </c>
      <c r="C39" s="29" t="n"/>
      <c r="D39" s="26" t="inlineStr">
        <is>
          <t>#2</t>
        </is>
      </c>
      <c r="E39" s="26" t="n"/>
      <c r="F39" s="26" t="inlineStr">
        <is>
          <t>Talpiot</t>
        </is>
      </c>
      <c r="G39" s="26" t="inlineStr">
        <is>
          <t>Q.ai</t>
        </is>
      </c>
      <c r="H39" s="28" t="inlineStr">
        <is>
          <t>Algo Team Lead</t>
        </is>
      </c>
      <c r="I39" s="29" t="inlineStr">
        <is>
          <t>Israel</t>
        </is>
      </c>
      <c r="J39" s="26" t="inlineStr">
        <is>
          <t>ai-ml</t>
        </is>
      </c>
      <c r="K39" s="36" t="inlineStr">
        <is>
          <t>B</t>
        </is>
      </c>
      <c r="L39" s="29" t="n"/>
      <c r="M39" s="33" t="n"/>
      <c r="N39" s="33" t="n"/>
      <c r="O39" s="33" t="n"/>
      <c r="P39" s="34" t="n"/>
      <c r="Q39" s="29" t="n"/>
      <c r="R39" s="33" t="n"/>
      <c r="S39" s="34" t="n"/>
      <c r="T39" s="26" t="inlineStr">
        <is>
          <t>https://www.linkedin.com/in/idokazma</t>
        </is>
      </c>
      <c r="U39" s="29" t="inlineStr">
        <is>
          <t>idokazma@gmail.com</t>
        </is>
      </c>
      <c r="V39" s="29" t="inlineStr">
        <is>
          <t>+972528584131</t>
        </is>
      </c>
      <c r="W39" s="28" t="inlineStr">
        <is>
          <t>Algorithms team lead. Relevant optimization skills, no systems/power record.</t>
        </is>
      </c>
      <c r="X39" s="33" t="inlineStr">
        <is>
          <t>[dex import] military course: 31 · education: תלפיות · tags: 25/2/2026 - Closing Event,Fireside Chat,Apex Newsletter,Signed To Apex,Architect Cohort #2,Apex Grad</t>
        </is>
      </c>
    </row>
    <row r="40" ht="30" customHeight="1">
      <c r="A40" s="26" t="n">
        <v>29</v>
      </c>
      <c r="B40" s="26" t="inlineStr">
        <is>
          <t>Ilan Voronel</t>
        </is>
      </c>
      <c r="C40" s="29" t="n"/>
      <c r="D40" s="26" t="inlineStr">
        <is>
          <t>#2</t>
        </is>
      </c>
      <c r="E40" s="26" t="n"/>
      <c r="F40" s="26" t="inlineStr">
        <is>
          <t>Talpiot</t>
        </is>
      </c>
      <c r="G40" s="26" t="inlineStr">
        <is>
          <t>Glassbox</t>
        </is>
      </c>
      <c r="H40" s="28" t="inlineStr">
        <is>
          <t>ML &amp; DS Team Leader</t>
        </is>
      </c>
      <c r="I40" s="29" t="inlineStr">
        <is>
          <t>Israel</t>
        </is>
      </c>
      <c r="J40" s="26" t="inlineStr">
        <is>
          <t>ai-ml</t>
        </is>
      </c>
      <c r="K40" s="36" t="inlineStr">
        <is>
          <t>B</t>
        </is>
      </c>
      <c r="L40" s="29" t="n"/>
      <c r="M40" s="33" t="n"/>
      <c r="N40" s="33" t="n"/>
      <c r="O40" s="33" t="n"/>
      <c r="P40" s="34" t="n"/>
      <c r="Q40" s="29" t="n"/>
      <c r="R40" s="33" t="n"/>
      <c r="S40" s="34" t="n"/>
      <c r="T40" s="26" t="inlineStr">
        <is>
          <t>https://www.linkedin.com/in/ilan-voronel/</t>
        </is>
      </c>
      <c r="U40" s="29" t="inlineStr">
        <is>
          <t>ilan.voronel@gmail.com</t>
        </is>
      </c>
      <c r="V40" s="29" t="inlineStr">
        <is>
          <t>+972547397052</t>
        </is>
      </c>
      <c r="W40" s="28" t="inlineStr">
        <is>
          <t>ML/DS team leadership. No systems/power record.</t>
        </is>
      </c>
      <c r="X40" s="33" t="inlineStr">
        <is>
          <t>[dex import] military course: 24 · education: תלפיות · tags: Fireside Chat,Apex Newsletter,Signed To Apex,25/2/2026 - Closing Event,Architect Cohort #2,Apex Grad</t>
        </is>
      </c>
    </row>
    <row r="41" ht="30" customHeight="1">
      <c r="A41" s="26" t="n">
        <v>38</v>
      </c>
      <c r="B41" s="26" t="inlineStr">
        <is>
          <t>Jonathan Gilat</t>
        </is>
      </c>
      <c r="C41" s="29" t="n"/>
      <c r="D41" s="26" t="inlineStr">
        <is>
          <t>#2</t>
        </is>
      </c>
      <c r="E41" s="26" t="n"/>
      <c r="F41" s="26" t="inlineStr">
        <is>
          <t>Talpiot</t>
        </is>
      </c>
      <c r="G41" s="26" t="inlineStr">
        <is>
          <t>Medida AI</t>
        </is>
      </c>
      <c r="H41" s="28" t="inlineStr">
        <is>
          <t>Co-Founder</t>
        </is>
      </c>
      <c r="I41" s="29" t="inlineStr">
        <is>
          <t>Tel Aviv, Tel-Aviv District, Israel</t>
        </is>
      </c>
      <c r="J41" s="26" t="inlineStr">
        <is>
          <t>ai-ml</t>
        </is>
      </c>
      <c r="K41" s="32" t="inlineStr">
        <is>
          <t>A</t>
        </is>
      </c>
      <c r="L41" s="29" t="n"/>
      <c r="M41" s="33" t="n"/>
      <c r="N41" s="33" t="n"/>
      <c r="O41" s="33" t="n"/>
      <c r="P41" s="34" t="n"/>
      <c r="Q41" s="29" t="n"/>
      <c r="R41" s="33" t="n"/>
      <c r="S41" s="34" t="n"/>
      <c r="T41" s="26" t="inlineStr">
        <is>
          <t>https://www.linkedin.com/in/jonathangilat</t>
        </is>
      </c>
      <c r="U41" s="29" t="inlineStr">
        <is>
          <t>jonathan@medida.ai</t>
        </is>
      </c>
      <c r="V41" s="29" t="inlineStr">
        <is>
          <t>+972528198278</t>
        </is>
      </c>
      <c r="W41" s="28" t="inlineStr">
        <is>
          <t>Talpiot + 8200 co-founder. Committed to Medida; domain (health AI) different.</t>
        </is>
      </c>
      <c r="X41" s="33" t="inlineStr">
        <is>
          <t>[dex import] military course: 37 · met with: Keep in touch · education: תלפיות · tags: Fireside Chat,Apex Newsletter,Signed To Apex,25/2/2026 - Closing Event,Architect Cohort #2,Apex Grad</t>
        </is>
      </c>
    </row>
    <row r="42" ht="30" customHeight="1">
      <c r="A42" s="26" t="n">
        <v>41</v>
      </c>
      <c r="B42" s="26" t="inlineStr">
        <is>
          <t>Kfir Shoar</t>
        </is>
      </c>
      <c r="C42" s="29" t="n"/>
      <c r="D42" s="26" t="inlineStr">
        <is>
          <t>#2</t>
        </is>
      </c>
      <c r="E42" s="26" t="n"/>
      <c r="F42" s="26" t="inlineStr">
        <is>
          <t>Talpiot</t>
        </is>
      </c>
      <c r="G42" s="26" t="inlineStr">
        <is>
          <t>Cyera</t>
        </is>
      </c>
      <c r="H42" s="28" t="inlineStr">
        <is>
          <t>Software Developer</t>
        </is>
      </c>
      <c r="I42" s="29" t="n"/>
      <c r="J42" s="26" t="inlineStr">
        <is>
          <t>security</t>
        </is>
      </c>
      <c r="K42" s="35" t="inlineStr">
        <is>
          <t>C</t>
        </is>
      </c>
      <c r="L42" s="29" t="n"/>
      <c r="M42" s="33" t="n"/>
      <c r="N42" s="33" t="n"/>
      <c r="O42" s="33" t="n"/>
      <c r="P42" s="34" t="n"/>
      <c r="Q42" s="29" t="n"/>
      <c r="R42" s="33" t="n"/>
      <c r="S42" s="34" t="n"/>
      <c r="T42" s="26" t="n"/>
      <c r="U42" s="29" t="n"/>
      <c r="V42" s="29" t="n"/>
      <c r="W42" s="28" t="inlineStr">
        <is>
          <t>SWE at Cyera. No domain evidence.</t>
        </is>
      </c>
      <c r="X42" s="33" t="n"/>
    </row>
    <row r="43" ht="30" customHeight="1">
      <c r="A43" s="26" t="n">
        <v>42</v>
      </c>
      <c r="B43" s="26" t="inlineStr">
        <is>
          <t>Lior Lev Tov</t>
        </is>
      </c>
      <c r="C43" s="29" t="n"/>
      <c r="D43" s="26" t="inlineStr">
        <is>
          <t>#2</t>
        </is>
      </c>
      <c r="E43" s="26" t="n"/>
      <c r="F43" s="26" t="inlineStr">
        <is>
          <t>ARAM</t>
        </is>
      </c>
      <c r="G43" s="26" t="inlineStr">
        <is>
          <t>Eon.io</t>
        </is>
      </c>
      <c r="H43" s="28" t="inlineStr">
        <is>
          <t>Software Engineer</t>
        </is>
      </c>
      <c r="I43" s="29" t="inlineStr">
        <is>
          <t>Tel-Aviv District, Israel</t>
        </is>
      </c>
      <c r="J43" s="26" t="inlineStr">
        <is>
          <t>infra-systems</t>
        </is>
      </c>
      <c r="K43" s="35" t="inlineStr">
        <is>
          <t>C</t>
        </is>
      </c>
      <c r="L43" s="29" t="n"/>
      <c r="M43" s="33" t="n"/>
      <c r="N43" s="33" t="n"/>
      <c r="O43" s="33" t="n"/>
      <c r="P43" s="34" t="n"/>
      <c r="Q43" s="29" t="n"/>
      <c r="R43" s="33" t="n"/>
      <c r="S43" s="34" t="n"/>
      <c r="T43" s="26" t="inlineStr">
        <is>
          <t>https://www.linkedin.com/in/liorlevtov</t>
        </is>
      </c>
      <c r="U43" s="29" t="inlineStr">
        <is>
          <t>liorlevtov@gmail.com</t>
        </is>
      </c>
      <c r="V43" s="29" t="inlineStr">
        <is>
          <t>+972542267010</t>
        </is>
      </c>
      <c r="W43" s="28" t="inlineStr">
        <is>
          <t>SWE at cloud backup startup. No domain evidence.</t>
        </is>
      </c>
      <c r="X43" s="33" t="inlineStr">
        <is>
          <t>[dex import] military course: ח · met with: Keep in touch · education: אר״מ · tags: 25/2/2026 - Closing Event,Fireside Chat,Apex Newsletter,Signed To Apex,Mega Connector,Avishag's Substack,Apex Grad</t>
        </is>
      </c>
    </row>
    <row r="44" ht="30" customHeight="1">
      <c r="A44" s="26" t="n">
        <v>43</v>
      </c>
      <c r="B44" s="26" t="inlineStr">
        <is>
          <t>Liran Markin</t>
        </is>
      </c>
      <c r="C44" s="29" t="n"/>
      <c r="D44" s="26" t="inlineStr">
        <is>
          <t>#2</t>
        </is>
      </c>
      <c r="E44" s="26" t="n"/>
      <c r="F44" s="26" t="inlineStr">
        <is>
          <t>ARAM</t>
        </is>
      </c>
      <c r="G44" s="26" t="inlineStr">
        <is>
          <t>Edwin</t>
        </is>
      </c>
      <c r="H44" s="28" t="inlineStr">
        <is>
          <t>CEO</t>
        </is>
      </c>
      <c r="I44" s="29" t="inlineStr">
        <is>
          <t>Tel-Aviv District, Israel</t>
        </is>
      </c>
      <c r="J44" s="26" t="n"/>
      <c r="K44" s="32" t="inlineStr">
        <is>
          <t>A</t>
        </is>
      </c>
      <c r="L44" s="29" t="n"/>
      <c r="M44" s="33" t="n"/>
      <c r="N44" s="33" t="n"/>
      <c r="O44" s="33" t="n"/>
      <c r="P44" s="34" t="n"/>
      <c r="Q44" s="29" t="n"/>
      <c r="R44" s="33" t="n"/>
      <c r="S44" s="34" t="n"/>
      <c r="T44" s="26" t="inlineStr">
        <is>
          <t>https://www.linkedin.com/in/liran-markin/</t>
        </is>
      </c>
      <c r="U44" s="29" t="inlineStr">
        <is>
          <t>liran.markin@gmail.com</t>
        </is>
      </c>
      <c r="V44" s="29" t="inlineStr">
        <is>
          <t>+972544911254</t>
        </is>
      </c>
      <c r="W44" s="28" t="inlineStr">
        <is>
          <t>Founder-CEO (with Gal Wiernik as CTO). Founder DNA; committed to Edwin.</t>
        </is>
      </c>
      <c r="X44" s="33" t="inlineStr">
        <is>
          <t>[dex import] military course: קורס י״ט · met with: NA · education: אר״מ · tags: Fireside Chat,Apex Newsletter,Signed To Apex,25/2/2026 - Closing Event,Apex Grad</t>
        </is>
      </c>
    </row>
    <row r="45" ht="30" customHeight="1">
      <c r="A45" s="26" t="n">
        <v>46</v>
      </c>
      <c r="B45" s="26" t="inlineStr">
        <is>
          <t>Michael Komraz</t>
        </is>
      </c>
      <c r="C45" s="29" t="n"/>
      <c r="D45" s="26" t="inlineStr">
        <is>
          <t>#2</t>
        </is>
      </c>
      <c r="E45" s="26" t="n"/>
      <c r="F45" s="26" t="inlineStr">
        <is>
          <t>ARAM</t>
        </is>
      </c>
      <c r="G45" s="26" t="n"/>
      <c r="H45" s="28" t="inlineStr">
        <is>
          <t>Building something new; ex-Snyk CTO Office</t>
        </is>
      </c>
      <c r="I45" s="29" t="n"/>
      <c r="J45" s="26" t="inlineStr">
        <is>
          <t>security</t>
        </is>
      </c>
      <c r="K45" s="32" t="inlineStr">
        <is>
          <t>A</t>
        </is>
      </c>
      <c r="L45" s="29" t="n"/>
      <c r="M45" s="33" t="n"/>
      <c r="N45" s="33" t="n"/>
      <c r="O45" s="33" t="n"/>
      <c r="P45" s="34" t="n"/>
      <c r="Q45" s="29" t="n"/>
      <c r="R45" s="33" t="n"/>
      <c r="S45" s="34" t="n"/>
      <c r="T45" s="26" t="inlineStr">
        <is>
          <t>https://www.linkedin.com/in/michael-komraz/</t>
        </is>
      </c>
      <c r="U45" s="29" t="inlineStr">
        <is>
          <t>mikomraz@gmail.com</t>
        </is>
      </c>
      <c r="V45" s="29" t="inlineStr">
        <is>
          <t>+972544319975</t>
        </is>
      </c>
      <c r="W45" s="28" t="inlineStr">
        <is>
          <t>Ex-Snyk CTO office, currently in founder mode. Strong generalist; committed to own thing.</t>
        </is>
      </c>
      <c r="X45" s="33" t="n"/>
    </row>
    <row r="46" ht="30" customHeight="1">
      <c r="A46" s="26" t="n">
        <v>45</v>
      </c>
      <c r="B46" s="26" t="inlineStr">
        <is>
          <t>Michael Zuzovski</t>
        </is>
      </c>
      <c r="C46" s="29" t="n"/>
      <c r="D46" s="26" t="inlineStr">
        <is>
          <t>#2</t>
        </is>
      </c>
      <c r="E46" s="26" t="n"/>
      <c r="F46" s="26" t="inlineStr">
        <is>
          <t>Psagot</t>
        </is>
      </c>
      <c r="G46" s="26" t="inlineStr">
        <is>
          <t>TAU (ex-Amazon)</t>
        </is>
      </c>
      <c r="H46" s="28" t="inlineStr">
        <is>
          <t>Researcher</t>
        </is>
      </c>
      <c r="I46" s="29" t="n"/>
      <c r="J46" s="26" t="inlineStr">
        <is>
          <t>research</t>
        </is>
      </c>
      <c r="K46" s="36" t="inlineStr">
        <is>
          <t>B</t>
        </is>
      </c>
      <c r="L46" s="29" t="n"/>
      <c r="M46" s="33" t="n"/>
      <c r="N46" s="33" t="n"/>
      <c r="O46" s="33" t="n"/>
      <c r="P46" s="34" t="n"/>
      <c r="Q46" s="29" t="n"/>
      <c r="R46" s="33" t="n"/>
      <c r="S46" s="34" t="n"/>
      <c r="T46" s="26" t="inlineStr">
        <is>
          <t>https://www.linkedin.com/in/michael-z-2355655a</t>
        </is>
      </c>
      <c r="U46" s="29" t="inlineStr">
        <is>
          <t>giga123@gmail.com</t>
        </is>
      </c>
      <c r="V46" s="29" t="inlineStr">
        <is>
          <t>+972527564010</t>
        </is>
      </c>
      <c r="W46" s="28" t="inlineStr">
        <is>
          <t>Ex-Amazon, now academic researcher. No power/GPU record.</t>
        </is>
      </c>
      <c r="X46" s="33" t="n"/>
    </row>
    <row r="47" ht="30" customHeight="1">
      <c r="A47" s="26" t="n">
        <v>47</v>
      </c>
      <c r="B47" s="26" t="inlineStr">
        <is>
          <t>Michal Ran Shchory</t>
        </is>
      </c>
      <c r="C47" s="29" t="n"/>
      <c r="D47" s="26" t="inlineStr">
        <is>
          <t>#2</t>
        </is>
      </c>
      <c r="E47" s="26" t="n"/>
      <c r="F47" s="26" t="inlineStr">
        <is>
          <t>Psagot</t>
        </is>
      </c>
      <c r="G47" s="26" t="inlineStr">
        <is>
          <t>Protai</t>
        </is>
      </c>
      <c r="H47" s="28" t="inlineStr">
        <is>
          <t>SW &amp; Algorithms</t>
        </is>
      </c>
      <c r="I47" s="29" t="inlineStr">
        <is>
          <t>Tel-Aviv District, Israel</t>
        </is>
      </c>
      <c r="J47" s="26" t="inlineStr">
        <is>
          <t>ai-ml</t>
        </is>
      </c>
      <c r="K47" s="35" t="inlineStr">
        <is>
          <t>C</t>
        </is>
      </c>
      <c r="L47" s="29" t="n"/>
      <c r="M47" s="33" t="n"/>
      <c r="N47" s="33" t="n"/>
      <c r="O47" s="33" t="n"/>
      <c r="P47" s="34" t="n"/>
      <c r="Q47" s="29" t="n"/>
      <c r="R47" s="33" t="n"/>
      <c r="S47" s="34" t="n"/>
      <c r="T47" s="26" t="inlineStr">
        <is>
          <t>https://www.linkedin.com/in/michal-ran</t>
        </is>
      </c>
      <c r="U47" s="29" t="inlineStr">
        <is>
          <t>michalran95@gmail.com</t>
        </is>
      </c>
      <c r="V47" s="29" t="inlineStr">
        <is>
          <t>+972544443440</t>
        </is>
      </c>
      <c r="W47" s="28" t="inlineStr">
        <is>
          <t>Algo engineer in bio/proteomics AI. No domain evidence.</t>
        </is>
      </c>
      <c r="X47" s="33" t="inlineStr">
        <is>
          <t>[dex import] military course: ט״ו · education: פסגות · tags: 25/2/2026 - Closing Event,Fireside Chat,Apex Newsletter,Signed To Apex,Apex Grad</t>
        </is>
      </c>
    </row>
    <row r="48" ht="30" customHeight="1">
      <c r="A48" s="26" t="n">
        <v>44</v>
      </c>
      <c r="B48" s="26" t="inlineStr">
        <is>
          <t>Mor Shemesh</t>
        </is>
      </c>
      <c r="C48" s="29" t="n"/>
      <c r="D48" s="26" t="inlineStr">
        <is>
          <t>#2</t>
        </is>
      </c>
      <c r="E48" s="26" t="n"/>
      <c r="F48" s="26" t="inlineStr">
        <is>
          <t>ARAM</t>
        </is>
      </c>
      <c r="G48" s="26" t="inlineStr">
        <is>
          <t>Stealth</t>
        </is>
      </c>
      <c r="H48" s="28" t="inlineStr">
        <is>
          <t>Founding Engineer</t>
        </is>
      </c>
      <c r="I48" s="29" t="inlineStr">
        <is>
          <t>Israel</t>
        </is>
      </c>
      <c r="J48" s="26" t="n"/>
      <c r="K48" s="32" t="inlineStr">
        <is>
          <t>A</t>
        </is>
      </c>
      <c r="L48" s="29" t="n"/>
      <c r="M48" s="33" t="n"/>
      <c r="N48" s="33" t="n"/>
      <c r="O48" s="33" t="n"/>
      <c r="P48" s="34" t="n"/>
      <c r="Q48" s="29" t="n"/>
      <c r="R48" s="33" t="n"/>
      <c r="S48" s="34" t="n"/>
      <c r="T48" s="26" t="inlineStr">
        <is>
          <t>https://www.linkedin.com/in/mor-shemesh-1bb04a155</t>
        </is>
      </c>
      <c r="U48" s="29" t="inlineStr">
        <is>
          <t>mor.m.shemesh@gmail.com</t>
        </is>
      </c>
      <c r="V48" s="29" t="inlineStr">
        <is>
          <t>+972507711998</t>
        </is>
      </c>
      <c r="W48" s="28" t="inlineStr">
        <is>
          <t>Stealth founding engineer - unknowable, unavailable.</t>
        </is>
      </c>
      <c r="X48" s="33" t="n"/>
    </row>
    <row r="49" ht="30" customHeight="1">
      <c r="A49" s="26" t="n">
        <v>48</v>
      </c>
      <c r="B49" s="26" t="inlineStr">
        <is>
          <t>Omer Onn</t>
        </is>
      </c>
      <c r="C49" s="29" t="n"/>
      <c r="D49" s="26" t="inlineStr">
        <is>
          <t>#2</t>
        </is>
      </c>
      <c r="E49" s="26" t="n"/>
      <c r="F49" s="26" t="inlineStr">
        <is>
          <t>Psagot</t>
        </is>
      </c>
      <c r="G49" s="26" t="inlineStr">
        <is>
          <t>Akeyless (ex-System Architect, DriveNets)</t>
        </is>
      </c>
      <c r="H49" s="28" t="inlineStr">
        <is>
          <t>Cloud &amp; Tech Alliance Mgr</t>
        </is>
      </c>
      <c r="I49" s="29" t="inlineStr">
        <is>
          <t>Israel</t>
        </is>
      </c>
      <c r="J49" s="26" t="inlineStr">
        <is>
          <t>security</t>
        </is>
      </c>
      <c r="K49" s="36" t="inlineStr">
        <is>
          <t>B</t>
        </is>
      </c>
      <c r="L49" s="29" t="n"/>
      <c r="M49" s="33" t="n"/>
      <c r="N49" s="33" t="n"/>
      <c r="O49" s="33" t="n"/>
      <c r="P49" s="34" t="n"/>
      <c r="Q49" s="29" t="n"/>
      <c r="R49" s="33" t="n"/>
      <c r="S49" s="34" t="n"/>
      <c r="T49" s="26" t="inlineStr">
        <is>
          <t>https://www.linkedin.com/in/omer-onn-0b980961</t>
        </is>
      </c>
      <c r="U49" s="29" t="inlineStr">
        <is>
          <t>omeronn@gmail.com</t>
        </is>
      </c>
      <c r="V49" s="29" t="inlineStr">
        <is>
          <t>+972508112332</t>
        </is>
      </c>
      <c r="W49" s="28" t="inlineStr">
        <is>
          <t>Real systems depth from DriveNets (carrier-scale networking), but has pivoted to BD/alliances. Better fit for a partnerships role than founding engineering.</t>
        </is>
      </c>
      <c r="X49" s="33" t="inlineStr">
        <is>
          <t>[dex import] military course: ו · education: פסגות · tags: 25/2/2026 - Closing Event,Fireside Chat,Apex Newsletter,Signed To Apex,Apex Grad</t>
        </is>
      </c>
    </row>
    <row r="50" ht="30" customHeight="1">
      <c r="A50" s="26" t="n">
        <v>49</v>
      </c>
      <c r="B50" s="26" t="inlineStr">
        <is>
          <t>Omri Gotlib</t>
        </is>
      </c>
      <c r="C50" s="29" t="n"/>
      <c r="D50" s="26" t="inlineStr">
        <is>
          <t>#2</t>
        </is>
      </c>
      <c r="E50" s="26" t="n"/>
      <c r="F50" s="26" t="inlineStr">
        <is>
          <t>ARAM</t>
        </is>
      </c>
      <c r="G50" s="26" t="n"/>
      <c r="H50" s="28" t="inlineStr">
        <is>
          <t>Team Lead, Security Research</t>
        </is>
      </c>
      <c r="I50" s="29" t="inlineStr">
        <is>
          <t>Tel Aviv, Tel-Aviv District, Israel</t>
        </is>
      </c>
      <c r="J50" s="26" t="inlineStr">
        <is>
          <t>security</t>
        </is>
      </c>
      <c r="K50" s="36" t="inlineStr">
        <is>
          <t>B</t>
        </is>
      </c>
      <c r="L50" s="29" t="n"/>
      <c r="M50" s="33" t="n"/>
      <c r="N50" s="33" t="n"/>
      <c r="O50" s="33" t="n"/>
      <c r="P50" s="34" t="n"/>
      <c r="Q50" s="29" t="n"/>
      <c r="R50" s="33" t="n"/>
      <c r="S50" s="34" t="n"/>
      <c r="T50" s="26" t="inlineStr">
        <is>
          <t>https://www.linkedin.com/in/omri-gotlib-223288260/</t>
        </is>
      </c>
      <c r="U50" s="29" t="inlineStr">
        <is>
          <t>gotlib.omri@gmail.com</t>
        </is>
      </c>
      <c r="V50" s="29" t="inlineStr">
        <is>
          <t>+972528225572</t>
        </is>
      </c>
      <c r="W50" s="28" t="inlineStr">
        <is>
          <t>Security research lead. Wrong domain.</t>
        </is>
      </c>
      <c r="X50" s="33" t="inlineStr">
        <is>
          <t>[dex import] military course: כ · education: אר״מ · tags: 25/2/2026 - Closing Event,Fireside Chat,Apex Newsletter,Signed To Apex,Apex Grad</t>
        </is>
      </c>
    </row>
    <row r="51" ht="30" customHeight="1">
      <c r="A51" s="26" t="n">
        <v>52</v>
      </c>
      <c r="B51" s="26" t="inlineStr">
        <is>
          <t>Peleg Ben Hamo</t>
        </is>
      </c>
      <c r="C51" s="29" t="n"/>
      <c r="D51" s="26" t="inlineStr">
        <is>
          <t>#2</t>
        </is>
      </c>
      <c r="E51" s="26" t="n"/>
      <c r="F51" s="26" t="inlineStr">
        <is>
          <t>Talpiot</t>
        </is>
      </c>
      <c r="G51" s="26" t="inlineStr">
        <is>
          <t>Cyera</t>
        </is>
      </c>
      <c r="H51" s="28" t="inlineStr">
        <is>
          <t>Software Developer</t>
        </is>
      </c>
      <c r="I51" s="29" t="inlineStr">
        <is>
          <t>Tel Aviv, Tel-Aviv District, Israel</t>
        </is>
      </c>
      <c r="J51" s="26" t="inlineStr">
        <is>
          <t>security</t>
        </is>
      </c>
      <c r="K51" s="35" t="inlineStr">
        <is>
          <t>C</t>
        </is>
      </c>
      <c r="L51" s="29" t="n"/>
      <c r="M51" s="33" t="n"/>
      <c r="N51" s="33" t="n"/>
      <c r="O51" s="33" t="n"/>
      <c r="P51" s="34" t="n"/>
      <c r="Q51" s="29" t="n"/>
      <c r="R51" s="33" t="n"/>
      <c r="S51" s="34" t="n"/>
      <c r="T51" s="26" t="inlineStr">
        <is>
          <t>https://www.linkedin.com/in/peleg-ben-hamo-a90034355</t>
        </is>
      </c>
      <c r="U51" s="29" t="inlineStr">
        <is>
          <t>peleg87@gmail.com</t>
        </is>
      </c>
      <c r="V51" s="29" t="inlineStr">
        <is>
          <t>+972524447878</t>
        </is>
      </c>
      <c r="W51" s="28" t="inlineStr">
        <is>
          <t>SWE at Cyera. No domain evidence.</t>
        </is>
      </c>
      <c r="X51" s="33" t="inlineStr">
        <is>
          <t>[dex import] military course: 36 · education: תלפיות · tags: 25/2/2026 - Closing Event,Fireside Chat,Apex Newsletter,Signed To Apex,Apex Grad</t>
        </is>
      </c>
    </row>
    <row r="52" ht="30" customHeight="1">
      <c r="A52" s="26" t="n">
        <v>54</v>
      </c>
      <c r="B52" s="26" t="inlineStr">
        <is>
          <t>Ron Galay</t>
        </is>
      </c>
      <c r="C52" s="29" t="n"/>
      <c r="D52" s="26" t="inlineStr">
        <is>
          <t>#2</t>
        </is>
      </c>
      <c r="E52" s="26" t="n"/>
      <c r="F52" s="26" t="inlineStr">
        <is>
          <t>Psagot</t>
        </is>
      </c>
      <c r="G52" s="26" t="inlineStr">
        <is>
          <t>Datadog</t>
        </is>
      </c>
      <c r="H52" s="28" t="inlineStr">
        <is>
          <t>Senior SWE</t>
        </is>
      </c>
      <c r="I52" s="29" t="inlineStr">
        <is>
          <t>Israel</t>
        </is>
      </c>
      <c r="J52" s="26" t="inlineStr">
        <is>
          <t>infra-systems</t>
        </is>
      </c>
      <c r="K52" s="36" t="inlineStr">
        <is>
          <t>B</t>
        </is>
      </c>
      <c r="L52" s="29" t="n"/>
      <c r="M52" s="33" t="n"/>
      <c r="N52" s="33" t="n"/>
      <c r="O52" s="33" t="n"/>
      <c r="P52" s="34" t="n"/>
      <c r="Q52" s="29" t="n"/>
      <c r="R52" s="33" t="n"/>
      <c r="S52" s="34" t="n"/>
      <c r="T52" s="26" t="inlineStr">
        <is>
          <t>https://www.linkedin.com/in/ron-galay-0b451662</t>
        </is>
      </c>
      <c r="U52" s="29" t="inlineStr">
        <is>
          <t>rongalay@gmail.com</t>
        </is>
      </c>
      <c r="V52" s="29" t="inlineStr">
        <is>
          <t>+972503039885</t>
        </is>
      </c>
      <c r="W52" s="28" t="inlineStr">
        <is>
          <t>Senior SWE at Datadog - large-scale observability is mildly adjacent (telemetry pipelines), but no power/GPU record.</t>
        </is>
      </c>
      <c r="X52" s="33" t="inlineStr">
        <is>
          <t>[dex import] military course: ט · education: פסגות · tags: Fireside Chat,Apex Newsletter,Signed To Apex,25/2/2026 - Closing Event,Apex Grad</t>
        </is>
      </c>
    </row>
    <row r="53" ht="30" customHeight="1">
      <c r="A53" s="26" t="n">
        <v>55</v>
      </c>
      <c r="B53" s="26" t="inlineStr">
        <is>
          <t>Roy Moshe</t>
        </is>
      </c>
      <c r="C53" s="29" t="n"/>
      <c r="D53" s="26" t="inlineStr">
        <is>
          <t>#2</t>
        </is>
      </c>
      <c r="E53" s="26" t="inlineStr">
        <is>
          <t>yes</t>
        </is>
      </c>
      <c r="F53" s="26" t="inlineStr">
        <is>
          <t>Psagot</t>
        </is>
      </c>
      <c r="G53" s="26" t="inlineStr">
        <is>
          <t>Stealth</t>
        </is>
      </c>
      <c r="H53" s="28" t="inlineStr">
        <is>
          <t>CEO</t>
        </is>
      </c>
      <c r="I53" s="29" t="inlineStr">
        <is>
          <t>Givatayim, Tel Aviv District, Israel</t>
        </is>
      </c>
      <c r="J53" s="26" t="n"/>
      <c r="K53" s="32" t="inlineStr">
        <is>
          <t>A</t>
        </is>
      </c>
      <c r="L53" s="29" t="n"/>
      <c r="M53" s="33" t="n"/>
      <c r="N53" s="33" t="n"/>
      <c r="O53" s="33" t="n"/>
      <c r="P53" s="34" t="n"/>
      <c r="Q53" s="29" t="n"/>
      <c r="R53" s="33" t="n"/>
      <c r="S53" s="34" t="n"/>
      <c r="T53" s="26" t="inlineStr">
        <is>
          <t>https://www.linkedin.com/in/roy-moshe-0727b115b</t>
        </is>
      </c>
      <c r="U53" s="29" t="inlineStr">
        <is>
          <t>roymoshe23@gmail.com</t>
        </is>
      </c>
      <c r="V53" s="29" t="inlineStr">
        <is>
          <t>+972546777815</t>
        </is>
      </c>
      <c r="W53" s="28" t="inlineStr">
        <is>
          <t>Stealth CEO, Founder Track. Unknowable and unavailable; track what he's building.</t>
        </is>
      </c>
      <c r="X53" s="33" t="inlineStr">
        <is>
          <t>[dex import] military course: ט״ו · unit: Psagot · domains: Agentic AI Workflow · role tag: CEO · commitment: 2 - רמה בינונית · tags: Apex Inception May 2026</t>
        </is>
      </c>
    </row>
    <row r="54" ht="30" customHeight="1">
      <c r="A54" s="26" t="n">
        <v>56</v>
      </c>
      <c r="B54" s="26" t="inlineStr">
        <is>
          <t>Shachar Resisi</t>
        </is>
      </c>
      <c r="C54" s="29" t="n"/>
      <c r="D54" s="26" t="inlineStr">
        <is>
          <t>#2</t>
        </is>
      </c>
      <c r="E54" s="26" t="n"/>
      <c r="F54" s="26" t="inlineStr">
        <is>
          <t>Egoz</t>
        </is>
      </c>
      <c r="G54" s="26" t="inlineStr">
        <is>
          <t>Vayyar Imaging</t>
        </is>
      </c>
      <c r="H54" s="28" t="inlineStr">
        <is>
          <t>Algorithm Developer</t>
        </is>
      </c>
      <c r="I54" s="29" t="inlineStr">
        <is>
          <t>Tel Aviv-Yafo, Tel Aviv District, Israel</t>
        </is>
      </c>
      <c r="J54" s="26" t="inlineStr">
        <is>
          <t>ai-ml</t>
        </is>
      </c>
      <c r="K54" s="35" t="inlineStr">
        <is>
          <t>C</t>
        </is>
      </c>
      <c r="L54" s="29" t="n"/>
      <c r="M54" s="33" t="n"/>
      <c r="N54" s="33" t="n"/>
      <c r="O54" s="33" t="n"/>
      <c r="P54" s="34" t="n"/>
      <c r="Q54" s="29" t="n"/>
      <c r="R54" s="33" t="n"/>
      <c r="S54" s="34" t="n"/>
      <c r="T54" s="26" t="inlineStr">
        <is>
          <t>https://www.linkedin.com/in/shachar-resisi</t>
        </is>
      </c>
      <c r="U54" s="29" t="inlineStr">
        <is>
          <t>shachar.resisi@gmail.com</t>
        </is>
      </c>
      <c r="V54" s="29" t="inlineStr">
        <is>
          <t>+972542566787</t>
        </is>
      </c>
      <c r="W54" s="28" t="inlineStr">
        <is>
          <t>Algorithms at an RF-imaging chip company - hardware-adjacent algo work.</t>
        </is>
      </c>
      <c r="X54" s="33" t="inlineStr">
        <is>
          <t>[dex import] military course: א · education: אגוז (לא של גולני) · tags: 25/2/2026 - Closing Event,Fireside Chat,Apex Newsletter,Signed To Apex,Apex Grad</t>
        </is>
      </c>
    </row>
    <row r="55" ht="30" customHeight="1">
      <c r="A55" s="26" t="n">
        <v>57</v>
      </c>
      <c r="B55" s="26" t="inlineStr">
        <is>
          <t>Shaked Yehezkel</t>
        </is>
      </c>
      <c r="C55" s="29" t="n"/>
      <c r="D55" s="26" t="inlineStr">
        <is>
          <t>#2</t>
        </is>
      </c>
      <c r="E55" s="26" t="n"/>
      <c r="F55" s="26" t="inlineStr">
        <is>
          <t>ARAM</t>
        </is>
      </c>
      <c r="G55" s="26" t="inlineStr">
        <is>
          <t>TAU</t>
        </is>
      </c>
      <c r="H55" s="28" t="inlineStr">
        <is>
          <t>Researcher</t>
        </is>
      </c>
      <c r="I55" s="29" t="n"/>
      <c r="J55" s="26" t="inlineStr">
        <is>
          <t>research</t>
        </is>
      </c>
      <c r="K55" s="36" t="inlineStr">
        <is>
          <t>B</t>
        </is>
      </c>
      <c r="L55" s="29" t="n"/>
      <c r="M55" s="33" t="n"/>
      <c r="N55" s="33" t="n"/>
      <c r="O55" s="33" t="n"/>
      <c r="P55" s="34" t="n"/>
      <c r="Q55" s="29" t="n"/>
      <c r="R55" s="33" t="n"/>
      <c r="S55" s="34" t="n"/>
      <c r="T55" s="26" t="n"/>
      <c r="U55" s="29" t="n"/>
      <c r="V55" s="29" t="n"/>
      <c r="W55" s="28" t="inlineStr">
        <is>
          <t>Academic researcher. Insufficient record.</t>
        </is>
      </c>
      <c r="X55" s="33" t="n"/>
    </row>
    <row r="56" ht="30" customHeight="1">
      <c r="A56" s="26" t="n">
        <v>58</v>
      </c>
      <c r="B56" s="26" t="inlineStr">
        <is>
          <t>Sharon Brizinov</t>
        </is>
      </c>
      <c r="C56" s="29" t="n"/>
      <c r="D56" s="26" t="inlineStr">
        <is>
          <t>#2</t>
        </is>
      </c>
      <c r="E56" s="26" t="n"/>
      <c r="F56" s="26" t="inlineStr">
        <is>
          <t>Saylan</t>
        </is>
      </c>
      <c r="G56" s="26" t="n"/>
      <c r="H56" s="28" t="inlineStr">
        <is>
          <t>Security Researcher (ICS/OT, firmware)</t>
        </is>
      </c>
      <c r="I56" s="29" t="inlineStr">
        <is>
          <t>Israel</t>
        </is>
      </c>
      <c r="J56" s="26" t="inlineStr">
        <is>
          <t>security</t>
        </is>
      </c>
      <c r="K56" s="36" t="inlineStr">
        <is>
          <t>B</t>
        </is>
      </c>
      <c r="L56" s="29" t="n"/>
      <c r="M56" s="33" t="n"/>
      <c r="N56" s="33" t="n"/>
      <c r="O56" s="33" t="n"/>
      <c r="P56" s="34" t="n"/>
      <c r="Q56" s="29" t="n"/>
      <c r="R56" s="33" t="n"/>
      <c r="S56" s="34" t="n"/>
      <c r="T56" s="26" t="inlineStr">
        <is>
          <t>https://www.linkedin.com/in/sharonbrizinov/</t>
        </is>
      </c>
      <c r="U56" s="29" t="inlineStr">
        <is>
          <t>sharon.brizinov@gmail.com</t>
        </is>
      </c>
      <c r="V56" s="29" t="inlineStr">
        <is>
          <t>+972544702148</t>
        </is>
      </c>
      <c r="W56" s="28" t="inlineStr">
        <is>
          <t>Elite low-level/firmware vulnerability researcher in the ICS/OT world. Reverse-engineering and firmware depth transfer directly to a layer sitting near GPU firmware/drivers - but it's security, not performance/power, and no infra-scaling record.</t>
        </is>
      </c>
      <c r="X56" s="33" t="inlineStr">
        <is>
          <t>[dex import] military course: ט · met with: Keep in touch · education: סילאן · tags: 25/2/2026 - Closing Event,Fireside Chat,Apex Newsletter,Signed To Apex,Apex Grad</t>
        </is>
      </c>
    </row>
    <row r="57" ht="30" customHeight="1">
      <c r="A57" s="26" t="n">
        <v>59</v>
      </c>
      <c r="B57" s="26" t="inlineStr">
        <is>
          <t>Tomer Goren</t>
        </is>
      </c>
      <c r="C57" s="29" t="n"/>
      <c r="D57" s="26" t="inlineStr">
        <is>
          <t>#2</t>
        </is>
      </c>
      <c r="E57" s="26" t="n"/>
      <c r="F57" s="26" t="inlineStr">
        <is>
          <t>Talpiot</t>
        </is>
      </c>
      <c r="G57" s="26" t="n"/>
      <c r="H57" s="28" t="inlineStr">
        <is>
          <t>'Building' (per APEX alumni page)</t>
        </is>
      </c>
      <c r="I57" s="29" t="n"/>
      <c r="J57" s="26" t="n"/>
      <c r="K57" s="32" t="inlineStr">
        <is>
          <t>A</t>
        </is>
      </c>
      <c r="L57" s="29" t="n"/>
      <c r="M57" s="33" t="n"/>
      <c r="N57" s="33" t="n"/>
      <c r="O57" s="33" t="n"/>
      <c r="P57" s="34" t="n"/>
      <c r="Q57" s="29" t="n"/>
      <c r="R57" s="33" t="n"/>
      <c r="S57" s="34" t="n"/>
      <c r="T57" s="26" t="inlineStr">
        <is>
          <t>https://www.linkedin.com/in/אין</t>
        </is>
      </c>
      <c r="U57" s="29" t="inlineStr">
        <is>
          <t>tomergoren99@gmail.com</t>
        </is>
      </c>
      <c r="V57" s="29" t="inlineStr">
        <is>
          <t>+972544744575</t>
        </is>
      </c>
      <c r="W57" s="28" t="inlineStr">
        <is>
          <t>In founder mode, domain unknown. Cannot assess.</t>
        </is>
      </c>
      <c r="X57" s="33" t="inlineStr">
        <is>
          <t>[dex import] military course: 39 · tags: Fireside Chat,Apex Newsletter</t>
        </is>
      </c>
    </row>
    <row r="58" ht="30" customHeight="1">
      <c r="A58" s="26" t="n">
        <v>53</v>
      </c>
      <c r="B58" s="26" t="inlineStr">
        <is>
          <t>Tzah Pahima</t>
        </is>
      </c>
      <c r="C58" s="29" t="n"/>
      <c r="D58" s="26" t="inlineStr">
        <is>
          <t>#2</t>
        </is>
      </c>
      <c r="E58" s="26" t="n"/>
      <c r="F58" s="26" t="inlineStr">
        <is>
          <t>ARAM</t>
        </is>
      </c>
      <c r="G58" s="26" t="inlineStr">
        <is>
          <t>Orca Security</t>
        </is>
      </c>
      <c r="H58" s="28" t="inlineStr">
        <is>
          <t>Cloud Security Researcher</t>
        </is>
      </c>
      <c r="I58" s="29" t="inlineStr">
        <is>
          <t>Ramat Gan, Tel-Aviv District, Israel</t>
        </is>
      </c>
      <c r="J58" s="26" t="inlineStr">
        <is>
          <t>security</t>
        </is>
      </c>
      <c r="K58" s="36" t="inlineStr">
        <is>
          <t>B</t>
        </is>
      </c>
      <c r="L58" s="29" t="n"/>
      <c r="M58" s="33" t="n"/>
      <c r="N58" s="33" t="n"/>
      <c r="O58" s="33" t="n"/>
      <c r="P58" s="34" t="n"/>
      <c r="Q58" s="29" t="n"/>
      <c r="R58" s="33" t="n"/>
      <c r="S58" s="34" t="n"/>
      <c r="T58" s="26" t="inlineStr">
        <is>
          <t>https://www.linkedin.com/in/tzah-pahima-6b5b75178</t>
        </is>
      </c>
      <c r="U58" s="29" t="inlineStr">
        <is>
          <t>tzahpahima123@gmail.com</t>
        </is>
      </c>
      <c r="V58" s="29" t="inlineStr">
        <is>
          <t>+972538271198</t>
        </is>
      </c>
      <c r="W58" s="28" t="inlineStr">
        <is>
          <t>Cloud security researcher. Deep cloud internals knowledge, security-side.</t>
        </is>
      </c>
      <c r="X58" s="33" t="inlineStr">
        <is>
          <t>[dex import] military course: ט׳ · education: אר״מ · tags: 25/2/2026 - Closing Event,Fireside Chat,Apex Newsletter,Signed To Apex,Apex Grad</t>
        </is>
      </c>
    </row>
    <row r="59" ht="30" customHeight="1">
      <c r="A59" s="26" t="n">
        <v>40</v>
      </c>
      <c r="B59" s="26" t="inlineStr">
        <is>
          <t>Yakov Kosoburd</t>
        </is>
      </c>
      <c r="C59" s="29" t="n"/>
      <c r="D59" s="26" t="inlineStr">
        <is>
          <t>#2</t>
        </is>
      </c>
      <c r="E59" s="26" t="n"/>
      <c r="F59" s="26" t="inlineStr">
        <is>
          <t>Talpiot</t>
        </is>
      </c>
      <c r="G59" s="26" t="n"/>
      <c r="H59" s="28" t="inlineStr">
        <is>
          <t>MSc Research Student, Weizmann</t>
        </is>
      </c>
      <c r="I59" s="29" t="inlineStr">
        <is>
          <t>Tel Aviv, Tel-Aviv District, Israel</t>
        </is>
      </c>
      <c r="J59" s="26" t="inlineStr">
        <is>
          <t>research</t>
        </is>
      </c>
      <c r="K59" s="36" t="inlineStr">
        <is>
          <t>B</t>
        </is>
      </c>
      <c r="L59" s="29" t="n"/>
      <c r="M59" s="33" t="n"/>
      <c r="N59" s="33" t="n"/>
      <c r="O59" s="33" t="n"/>
      <c r="P59" s="34" t="n"/>
      <c r="Q59" s="29" t="n"/>
      <c r="R59" s="33" t="n"/>
      <c r="S59" s="34" t="n"/>
      <c r="T59" s="26" t="inlineStr">
        <is>
          <t>https://www.linkedin.com/in/yakov-kosoburd-8b8aa127a</t>
        </is>
      </c>
      <c r="U59" s="29" t="inlineStr">
        <is>
          <t>yakov.kosoburd@gmail.com</t>
        </is>
      </c>
      <c r="V59" s="29" t="inlineStr">
        <is>
          <t>+972529508555</t>
        </is>
      </c>
      <c r="W59" s="28" t="inlineStr">
        <is>
          <t>Graduate researcher. Insufficient production record.</t>
        </is>
      </c>
      <c r="X59" s="33" t="inlineStr">
        <is>
          <t>[dex import] military course: 38 · education: תלפיות · tags: Fireside Chat,Apex Newsletter,Signed To Apex,25/2/2026 - Closing Event,Apex Grad</t>
        </is>
      </c>
    </row>
    <row r="60" ht="30" customHeight="1">
      <c r="A60" s="26" t="n">
        <v>39</v>
      </c>
      <c r="B60" s="26" t="inlineStr">
        <is>
          <t>Yuri Shapira</t>
        </is>
      </c>
      <c r="C60" s="29" t="n"/>
      <c r="D60" s="26" t="inlineStr">
        <is>
          <t>#2</t>
        </is>
      </c>
      <c r="E60" s="26" t="n"/>
      <c r="F60" s="26" t="inlineStr">
        <is>
          <t>ARAM</t>
        </is>
      </c>
      <c r="G60" s="26" t="inlineStr">
        <is>
          <t>PureSec (Architect @ PAN per roster)</t>
        </is>
      </c>
      <c r="H60" s="28" t="inlineStr">
        <is>
          <t>Principal Researcher</t>
        </is>
      </c>
      <c r="I60" s="29" t="inlineStr">
        <is>
          <t>Israel</t>
        </is>
      </c>
      <c r="J60" s="26" t="inlineStr">
        <is>
          <t>security</t>
        </is>
      </c>
      <c r="K60" s="36" t="inlineStr">
        <is>
          <t>B</t>
        </is>
      </c>
      <c r="L60" s="29" t="n"/>
      <c r="M60" s="33" t="n"/>
      <c r="N60" s="33" t="n"/>
      <c r="O60" s="33" t="n"/>
      <c r="P60" s="34" t="n"/>
      <c r="Q60" s="29" t="n"/>
      <c r="R60" s="33" t="n"/>
      <c r="S60" s="34" t="n"/>
      <c r="T60" s="26" t="inlineStr">
        <is>
          <t>https://www.linkedin.com/in/yurishapira</t>
        </is>
      </c>
      <c r="U60" s="29" t="inlineStr">
        <is>
          <t>yurishapira@gmail.com</t>
        </is>
      </c>
      <c r="V60" s="29" t="inlineStr">
        <is>
          <t>+972547225688</t>
        </is>
      </c>
      <c r="W60" s="28" t="inlineStr">
        <is>
          <t>Principal security researcher/architect. Deep technical, wrong domain.</t>
        </is>
      </c>
      <c r="X60" s="33" t="inlineStr">
        <is>
          <t>[dex import] military course: 2003 · education: אחראי מחשוב · tags: 25/2/2026 - Closing Event,Fireside Chat,Apex Newsletter,Signed To Apex,Apex Grad</t>
        </is>
      </c>
    </row>
    <row r="61" ht="30" customHeight="1">
      <c r="A61" s="26" t="n">
        <v>92</v>
      </c>
      <c r="B61" s="26" t="inlineStr">
        <is>
          <t>Adi Cohen</t>
        </is>
      </c>
      <c r="C61" s="29" t="n"/>
      <c r="D61" s="26" t="inlineStr">
        <is>
          <t>#3</t>
        </is>
      </c>
      <c r="E61" s="26" t="n"/>
      <c r="F61" s="26" t="n"/>
      <c r="G61" s="26" t="n"/>
      <c r="H61" s="28" t="inlineStr">
        <is>
          <t>Unknown</t>
        </is>
      </c>
      <c r="I61" s="29" t="n"/>
      <c r="J61" s="26" t="n"/>
      <c r="K61" s="35" t="inlineStr">
        <is>
          <t>C</t>
        </is>
      </c>
      <c r="L61" s="29" t="n"/>
      <c r="M61" s="33" t="n"/>
      <c r="N61" s="33" t="n"/>
      <c r="O61" s="33" t="n"/>
      <c r="P61" s="34" t="n"/>
      <c r="Q61" s="29" t="n"/>
      <c r="R61" s="33" t="n"/>
      <c r="S61" s="34" t="n"/>
      <c r="T61" s="26" t="n"/>
      <c r="U61" s="29" t="inlineStr">
        <is>
          <t>cohenadi02@gmail.com</t>
        </is>
      </c>
      <c r="V61" s="29" t="inlineStr">
        <is>
          <t>+972543990302</t>
        </is>
      </c>
      <c r="W61" s="28" t="inlineStr">
        <is>
          <t>Name too common for reliable public disambiguation; no LinkedIn in roster.</t>
        </is>
      </c>
      <c r="X61" s="33" t="n"/>
    </row>
    <row r="62" ht="30" customHeight="1">
      <c r="A62" s="26" t="n">
        <v>93</v>
      </c>
      <c r="B62" s="26" t="inlineStr">
        <is>
          <t>Adi Tzhori Moshe</t>
        </is>
      </c>
      <c r="C62" s="29" t="n"/>
      <c r="D62" s="26" t="inlineStr">
        <is>
          <t>#3</t>
        </is>
      </c>
      <c r="E62" s="26" t="n"/>
      <c r="F62" s="26" t="n"/>
      <c r="G62" s="26" t="inlineStr">
        <is>
          <t>Kardome (voice AI)</t>
        </is>
      </c>
      <c r="H62" s="28" t="inlineStr">
        <is>
          <t>Embedded Software Developer</t>
        </is>
      </c>
      <c r="I62" s="29" t="n"/>
      <c r="J62" s="26" t="inlineStr">
        <is>
          <t>ai-ml</t>
        </is>
      </c>
      <c r="K62" s="35" t="inlineStr">
        <is>
          <t>C</t>
        </is>
      </c>
      <c r="L62" s="29" t="n"/>
      <c r="M62" s="33" t="n"/>
      <c r="N62" s="33" t="n"/>
      <c r="O62" s="33" t="n"/>
      <c r="P62" s="34" t="n"/>
      <c r="Q62" s="29" t="n"/>
      <c r="R62" s="33" t="n"/>
      <c r="S62" s="34" t="n"/>
      <c r="T62" s="26" t="inlineStr">
        <is>
          <t>https://www.linkedin.com/in/adi-tzhori</t>
        </is>
      </c>
      <c r="U62" s="29" t="n"/>
      <c r="V62" s="29" t="n"/>
      <c r="W62" s="28" t="inlineStr">
        <is>
          <t>Embedded SW developer at a voice-AI/DSP startup, ex-Elbit, Technion computer engineering. Embedded/DSP is a relevant profile shape at junior level; no GPU/power record.</t>
        </is>
      </c>
      <c r="X62" s="33" t="inlineStr">
        <is>
          <t>[dex import] tags: Architect Cohort #3,30/6/2026 - State of AI</t>
        </is>
      </c>
    </row>
    <row r="63" ht="30" customHeight="1">
      <c r="A63" s="26" t="n">
        <v>62</v>
      </c>
      <c r="B63" s="26" t="inlineStr">
        <is>
          <t>Adir Kobovich</t>
        </is>
      </c>
      <c r="C63" s="29" t="n"/>
      <c r="D63" s="26" t="inlineStr">
        <is>
          <t>#3</t>
        </is>
      </c>
      <c r="E63" s="26" t="n"/>
      <c r="F63" s="26" t="n"/>
      <c r="G63" s="26" t="inlineStr">
        <is>
          <t>Technion (coding/information theory, DNA storage lab)</t>
        </is>
      </c>
      <c r="H63" s="28" t="inlineStr">
        <is>
          <t>MSc</t>
        </is>
      </c>
      <c r="I63" s="29" t="inlineStr">
        <is>
          <t>Israel</t>
        </is>
      </c>
      <c r="J63" s="26" t="inlineStr">
        <is>
          <t>research</t>
        </is>
      </c>
      <c r="K63" s="35" t="inlineStr">
        <is>
          <t>C</t>
        </is>
      </c>
      <c r="L63" s="29" t="n"/>
      <c r="M63" s="33" t="n"/>
      <c r="N63" s="33" t="n"/>
      <c r="O63" s="33" t="n"/>
      <c r="P63" s="34" t="n"/>
      <c r="Q63" s="29" t="n"/>
      <c r="R63" s="33" t="n"/>
      <c r="S63" s="34" t="n"/>
      <c r="T63" s="26" t="inlineStr">
        <is>
          <t>https://www.linkedin.com/in/adir-kobovich-004494233</t>
        </is>
      </c>
      <c r="U63" s="29" t="inlineStr">
        <is>
          <t>adir.kob@gmail.com</t>
        </is>
      </c>
      <c r="V63" s="29" t="inlineStr">
        <is>
          <t>+972546540789</t>
        </is>
      </c>
      <c r="W63" s="28" t="inlineStr">
        <is>
          <t>Coding-theory researcher (arXiv/IEEE publications) with visible bare-metal/embedded interest. Strong theory, junior, no production systems record yet.</t>
        </is>
      </c>
      <c r="X63" s="33" t="n"/>
    </row>
    <row r="64" ht="30" customHeight="1">
      <c r="A64" s="26" t="n">
        <v>68</v>
      </c>
      <c r="B64" s="26" t="inlineStr">
        <is>
          <t>Alon Wolf</t>
        </is>
      </c>
      <c r="C64" s="29" t="n"/>
      <c r="D64" s="26" t="inlineStr">
        <is>
          <t>#3</t>
        </is>
      </c>
      <c r="E64" s="26" t="n"/>
      <c r="F64" s="26" t="inlineStr">
        <is>
          <t>Talpiot (likely)</t>
        </is>
      </c>
      <c r="G64" s="26" t="inlineStr">
        <is>
          <t>Cyera</t>
        </is>
      </c>
      <c r="H64" s="28" t="inlineStr">
        <is>
          <t>Likely: AI Security Solution Architect</t>
        </is>
      </c>
      <c r="I64" s="29" t="inlineStr">
        <is>
          <t>Israel</t>
        </is>
      </c>
      <c r="J64" s="26" t="inlineStr">
        <is>
          <t>security</t>
        </is>
      </c>
      <c r="K64" s="36" t="inlineStr">
        <is>
          <t>B</t>
        </is>
      </c>
      <c r="L64" s="29" t="n"/>
      <c r="M64" s="33" t="n"/>
      <c r="N64" s="33" t="n"/>
      <c r="O64" s="33" t="n"/>
      <c r="P64" s="34" t="n"/>
      <c r="Q64" s="29" t="n"/>
      <c r="R64" s="33" t="n"/>
      <c r="S64" s="34" t="n"/>
      <c r="T64" s="26" t="inlineStr">
        <is>
          <t>https://www.linkedin.com/in/alon-wolf</t>
        </is>
      </c>
      <c r="U64" s="29" t="inlineStr">
        <is>
          <t>alonwolfy@gmail.com</t>
        </is>
      </c>
      <c r="V64" s="29" t="inlineStr">
        <is>
          <t>+972546611903</t>
        </is>
      </c>
      <c r="W64" s="28" t="inlineStr">
        <is>
          <t>Best identity match: Cyera AI security architect, previously AI research at Decart (a company famous for extreme GPU-efficiency engineering), Talpiot, HUJI BSc + TAU MSc. Decart exposure is a real signal for GPU-efficiency thinking. Identity needs verification (common name incl. a Technion robotics professor).</t>
        </is>
      </c>
      <c r="X64" s="33" t="n"/>
    </row>
    <row r="65" ht="30" customHeight="1">
      <c r="A65" s="26" t="n">
        <v>69</v>
      </c>
      <c r="B65" s="26" t="inlineStr">
        <is>
          <t>Amir Balva</t>
        </is>
      </c>
      <c r="C65" s="29" t="n"/>
      <c r="D65" s="26" t="inlineStr">
        <is>
          <t>#3</t>
        </is>
      </c>
      <c r="E65" s="26" t="n"/>
      <c r="F65" s="26" t="n"/>
      <c r="G65" s="26" t="n"/>
      <c r="H65" s="28" t="inlineStr">
        <is>
          <t>Cyber Security Leader</t>
        </is>
      </c>
      <c r="I65" s="29" t="inlineStr">
        <is>
          <t>Israel</t>
        </is>
      </c>
      <c r="J65" s="26" t="n"/>
      <c r="K65" s="35" t="inlineStr">
        <is>
          <t>C</t>
        </is>
      </c>
      <c r="L65" s="29" t="n"/>
      <c r="M65" s="33" t="n"/>
      <c r="N65" s="33" t="n"/>
      <c r="O65" s="33" t="n"/>
      <c r="P65" s="34" t="n"/>
      <c r="Q65" s="29" t="n"/>
      <c r="R65" s="33" t="n"/>
      <c r="S65" s="34" t="n"/>
      <c r="T65" s="26" t="inlineStr">
        <is>
          <t>https://www.linkedin.com/in/amirbalva</t>
        </is>
      </c>
      <c r="U65" s="29" t="inlineStr">
        <is>
          <t>amirbalva@gmail.com</t>
        </is>
      </c>
      <c r="V65" s="29" t="inlineStr">
        <is>
          <t>+972525591311</t>
        </is>
      </c>
      <c r="W65" s="28" t="inlineStr">
        <is>
          <t>Web search returned no reliable public technical record for this name.</t>
        </is>
      </c>
      <c r="X65" s="33" t="n"/>
    </row>
    <row r="66" ht="30" customHeight="1">
      <c r="A66" s="26" t="n">
        <v>70</v>
      </c>
      <c r="B66" s="26" t="inlineStr">
        <is>
          <t>Amitai Nevo</t>
        </is>
      </c>
      <c r="C66" s="29" t="n"/>
      <c r="D66" s="26" t="inlineStr">
        <is>
          <t>#3</t>
        </is>
      </c>
      <c r="E66" s="26" t="n"/>
      <c r="F66" s="26" t="n"/>
      <c r="G66" s="26" t="inlineStr">
        <is>
          <t>Franklin by QIAGEN</t>
        </is>
      </c>
      <c r="H66" s="28" t="inlineStr">
        <is>
          <t>Data Scientist | Impact | Talpiot Alumnus</t>
        </is>
      </c>
      <c r="I66" s="29" t="inlineStr">
        <is>
          <t>Israel</t>
        </is>
      </c>
      <c r="J66" s="26" t="n"/>
      <c r="K66" s="35" t="inlineStr">
        <is>
          <t>C</t>
        </is>
      </c>
      <c r="L66" s="29" t="n"/>
      <c r="M66" s="33" t="n"/>
      <c r="N66" s="33" t="n"/>
      <c r="O66" s="33" t="n"/>
      <c r="P66" s="34" t="n"/>
      <c r="Q66" s="29" t="n"/>
      <c r="R66" s="33" t="n"/>
      <c r="S66" s="34" t="n"/>
      <c r="T66" s="26" t="inlineStr">
        <is>
          <t>https://www.linkedin.com/in/amitai-nevo</t>
        </is>
      </c>
      <c r="U66" s="29" t="inlineStr">
        <is>
          <t>amitai.nevo2@gmail.com</t>
        </is>
      </c>
      <c r="V66" s="29" t="inlineStr">
        <is>
          <t>+972522344098</t>
        </is>
      </c>
      <c r="W66" s="28" t="inlineStr">
        <is>
          <t>Web search returned no reliable public disambiguation for this name.</t>
        </is>
      </c>
      <c r="X66" s="33" t="n"/>
    </row>
    <row r="67" ht="30" customHeight="1">
      <c r="A67" s="26" t="n">
        <v>71</v>
      </c>
      <c r="B67" s="26" t="inlineStr">
        <is>
          <t>Ariel Bachar</t>
        </is>
      </c>
      <c r="C67" s="29" t="n"/>
      <c r="D67" s="26" t="inlineStr">
        <is>
          <t>#3</t>
        </is>
      </c>
      <c r="E67" s="26" t="n"/>
      <c r="F67" s="26" t="inlineStr">
        <is>
          <t>ARAM (roster)</t>
        </is>
      </c>
      <c r="G67" s="26" t="inlineStr">
        <is>
          <t>Zafran</t>
        </is>
      </c>
      <c r="H67" s="28" t="inlineStr">
        <is>
          <t>Senior Software Engineer</t>
        </is>
      </c>
      <c r="I67" s="29" t="n"/>
      <c r="J67" s="26" t="inlineStr">
        <is>
          <t>security</t>
        </is>
      </c>
      <c r="K67" s="36" t="inlineStr">
        <is>
          <t>B</t>
        </is>
      </c>
      <c r="L67" s="29" t="n"/>
      <c r="M67" s="33" t="n"/>
      <c r="N67" s="33" t="n"/>
      <c r="O67" s="33" t="n"/>
      <c r="P67" s="34" t="n"/>
      <c r="Q67" s="29" t="n"/>
      <c r="R67" s="33" t="n"/>
      <c r="S67" s="34" t="n"/>
      <c r="T67" s="26" t="inlineStr">
        <is>
          <t>https://linkedin.com/in/ariel-bachar</t>
        </is>
      </c>
      <c r="U67" s="29" t="inlineStr">
        <is>
          <t>relrelbachar@gmail.com</t>
        </is>
      </c>
      <c r="V67" s="29" t="inlineStr">
        <is>
          <t>+972545301526</t>
        </is>
      </c>
      <c r="W67" s="28" t="inlineStr">
        <is>
          <t>Senior SWE at Zafran (threat exposure mgmt), ex-military-intelligence security researcher. Solid cyber engineer, wrong domain.</t>
        </is>
      </c>
      <c r="X67" s="33" t="n"/>
    </row>
    <row r="68" ht="30" customHeight="1">
      <c r="A68" s="26" t="n">
        <v>60</v>
      </c>
      <c r="B68" s="26" t="inlineStr">
        <is>
          <t>Avichay Radovsky</t>
        </is>
      </c>
      <c r="C68" s="29" t="n"/>
      <c r="D68" s="26" t="inlineStr">
        <is>
          <t>#3</t>
        </is>
      </c>
      <c r="E68" s="26" t="n"/>
      <c r="F68" s="26" t="n"/>
      <c r="G68" s="26" t="n"/>
      <c r="H68" s="28" t="inlineStr">
        <is>
          <t>Unknown</t>
        </is>
      </c>
      <c r="I68" s="29" t="n"/>
      <c r="J68" s="26" t="n"/>
      <c r="K68" s="35" t="inlineStr">
        <is>
          <t>C</t>
        </is>
      </c>
      <c r="L68" s="29" t="n"/>
      <c r="M68" s="33" t="n"/>
      <c r="N68" s="33" t="n"/>
      <c r="O68" s="33" t="n"/>
      <c r="P68" s="34" t="n"/>
      <c r="Q68" s="29" t="n"/>
      <c r="R68" s="33" t="n"/>
      <c r="S68" s="34" t="n"/>
      <c r="T68" s="26" t="n"/>
      <c r="U68" s="29" t="inlineStr">
        <is>
          <t>avichayr@gmail.com</t>
        </is>
      </c>
      <c r="V68" s="29" t="inlineStr">
        <is>
          <t>+972526351833</t>
        </is>
      </c>
      <c r="W68" s="28" t="inlineStr">
        <is>
          <t>Web search returned no reliable public technical record for this name.</t>
        </is>
      </c>
      <c r="X68" s="33" t="n"/>
    </row>
    <row r="69" ht="30" customHeight="1">
      <c r="A69" s="26" t="n">
        <v>61</v>
      </c>
      <c r="B69" s="26" t="inlineStr">
        <is>
          <t>Avraham Berrebi</t>
        </is>
      </c>
      <c r="C69" s="29" t="n"/>
      <c r="D69" s="26" t="inlineStr">
        <is>
          <t>#3</t>
        </is>
      </c>
      <c r="E69" s="26" t="n"/>
      <c r="F69" s="26" t="n"/>
      <c r="G69" s="26" t="n"/>
      <c r="H69" s="28" t="inlineStr">
        <is>
          <t>Quantum Tech Projects Officer, MoD; ex-Rafael; HUJI/Weizmann quantum physics</t>
        </is>
      </c>
      <c r="I69" s="29" t="inlineStr">
        <is>
          <t>Israel</t>
        </is>
      </c>
      <c r="J69" s="26" t="inlineStr">
        <is>
          <t>research</t>
        </is>
      </c>
      <c r="K69" s="36" t="inlineStr">
        <is>
          <t>B</t>
        </is>
      </c>
      <c r="L69" s="29" t="n"/>
      <c r="M69" s="33" t="n"/>
      <c r="N69" s="33" t="n"/>
      <c r="O69" s="33" t="n"/>
      <c r="P69" s="34" t="n"/>
      <c r="Q69" s="29" t="n"/>
      <c r="R69" s="33" t="n"/>
      <c r="S69" s="34" t="n"/>
      <c r="T69" s="26" t="inlineStr">
        <is>
          <t>https://il.linkedin.com/in/avraham-berrebi-0981b5266</t>
        </is>
      </c>
      <c r="U69" s="29" t="inlineStr">
        <is>
          <t>avraham.berr@gmail.com</t>
        </is>
      </c>
      <c r="V69" s="29" t="inlineStr">
        <is>
          <t>+972526207606</t>
        </is>
      </c>
      <c r="W69" s="28" t="inlineStr">
        <is>
          <t>Quantum-technology program leader at MoD, ex-Rafael researcher, PRL-published quantum physics (spin decoherence). Deep hard-tech + program leadership; no GPU/power-software fit.</t>
        </is>
      </c>
      <c r="X69" s="33" t="n"/>
    </row>
    <row r="70" ht="30" customHeight="1">
      <c r="A70" s="26" t="n">
        <v>72</v>
      </c>
      <c r="B70" s="26" t="inlineStr">
        <is>
          <t>Benny Getz</t>
        </is>
      </c>
      <c r="C70" s="29" t="n"/>
      <c r="D70" s="26" t="inlineStr">
        <is>
          <t>#3</t>
        </is>
      </c>
      <c r="E70" s="26" t="n"/>
      <c r="F70" s="26" t="inlineStr">
        <is>
          <t>Talpiot</t>
        </is>
      </c>
      <c r="G70" s="26" t="inlineStr">
        <is>
          <t>Predicta Med</t>
        </is>
      </c>
      <c r="H70" s="28" t="inlineStr">
        <is>
          <t>Co-Founder &amp; CTO</t>
        </is>
      </c>
      <c r="I70" s="29" t="inlineStr">
        <is>
          <t>Ramat HaSharon, Tel Aviv District, Israel</t>
        </is>
      </c>
      <c r="J70" s="26" t="inlineStr">
        <is>
          <t>infra-systems</t>
        </is>
      </c>
      <c r="K70" s="32" t="inlineStr">
        <is>
          <t>A</t>
        </is>
      </c>
      <c r="L70" s="29" t="n"/>
      <c r="M70" s="33" t="n"/>
      <c r="N70" s="33" t="n"/>
      <c r="O70" s="33" t="n"/>
      <c r="P70" s="34" t="n"/>
      <c r="Q70" s="29" t="n"/>
      <c r="R70" s="33" t="n"/>
      <c r="S70" s="34" t="n"/>
      <c r="T70" s="26" t="inlineStr">
        <is>
          <t>https://www.linkedin.com/in/benny-benjamin-g-93922b</t>
        </is>
      </c>
      <c r="U70" s="29" t="inlineStr">
        <is>
          <t>benny.getz@gmail.com</t>
        </is>
      </c>
      <c r="V70" s="29" t="inlineStr">
        <is>
          <t>+972545551000</t>
        </is>
      </c>
      <c r="W70" s="28" t="inlineStr">
        <is>
          <t>25 years of silicon/system architecture: Intel wireless chief-architect roles, Samsung IoT senior director, DSP/signal processing, Talpiot. Deep chip-and-systems architecture DNA - relevant to hardware-aware software - but currently CTO of his own health-AI startup and very senior.</t>
        </is>
      </c>
      <c r="X70" s="33" t="n"/>
    </row>
    <row r="71" ht="30" customHeight="1">
      <c r="A71" s="26" t="n">
        <v>75</v>
      </c>
      <c r="B71" s="26" t="inlineStr">
        <is>
          <t>David Shasha</t>
        </is>
      </c>
      <c r="C71" s="29" t="n"/>
      <c r="D71" s="26" t="inlineStr">
        <is>
          <t>#3</t>
        </is>
      </c>
      <c r="E71" s="26" t="n"/>
      <c r="F71" s="26" t="n"/>
      <c r="G71" s="26" t="inlineStr">
        <is>
          <t>Stealth</t>
        </is>
      </c>
      <c r="H71" s="28" t="inlineStr">
        <is>
          <t>System Architecture Leader | From Ambiguity to Execution</t>
        </is>
      </c>
      <c r="I71" s="29" t="inlineStr">
        <is>
          <t>Tel Aviv District, Israel</t>
        </is>
      </c>
      <c r="J71" s="26" t="n"/>
      <c r="K71" s="35" t="inlineStr">
        <is>
          <t>C</t>
        </is>
      </c>
      <c r="L71" s="29" t="n"/>
      <c r="M71" s="33" t="n"/>
      <c r="N71" s="33" t="n"/>
      <c r="O71" s="33" t="n"/>
      <c r="P71" s="34" t="n"/>
      <c r="Q71" s="29" t="n"/>
      <c r="R71" s="33" t="n"/>
      <c r="S71" s="34" t="n"/>
      <c r="T71" s="26" t="inlineStr">
        <is>
          <t>https://www.linkedin.com/in/shasha-david</t>
        </is>
      </c>
      <c r="U71" s="29" t="inlineStr">
        <is>
          <t>davidroyshasha@gmail.com</t>
        </is>
      </c>
      <c r="V71" s="29" t="inlineStr">
        <is>
          <t>+972544961009</t>
        </is>
      </c>
      <c r="W71" s="28" t="inlineStr">
        <is>
          <t>Web search returned no reliable public disambiguation for this name.</t>
        </is>
      </c>
      <c r="X71" s="33" t="n"/>
    </row>
    <row r="72" ht="30" customHeight="1">
      <c r="A72" s="26" t="n">
        <v>76</v>
      </c>
      <c r="B72" s="26" t="inlineStr">
        <is>
          <t>Dolev Elbaz</t>
        </is>
      </c>
      <c r="C72" s="29" t="n"/>
      <c r="D72" s="26" t="inlineStr">
        <is>
          <t>#3</t>
        </is>
      </c>
      <c r="E72" s="26" t="n"/>
      <c r="F72" s="26" t="inlineStr">
        <is>
          <t>Psagot</t>
        </is>
      </c>
      <c r="G72" s="26" t="inlineStr">
        <is>
          <t>Breeze Security</t>
        </is>
      </c>
      <c r="H72" s="28" t="inlineStr">
        <is>
          <t>Co-Founder &amp; CTO</t>
        </is>
      </c>
      <c r="I72" s="29" t="inlineStr">
        <is>
          <t>Tel Aviv District, Israel</t>
        </is>
      </c>
      <c r="J72" s="26" t="inlineStr">
        <is>
          <t>security</t>
        </is>
      </c>
      <c r="K72" s="32" t="inlineStr">
        <is>
          <t>A</t>
        </is>
      </c>
      <c r="L72" s="29" t="n"/>
      <c r="M72" s="33" t="n"/>
      <c r="N72" s="33" t="n"/>
      <c r="O72" s="33" t="n"/>
      <c r="P72" s="34" t="n"/>
      <c r="Q72" s="29" t="n"/>
      <c r="R72" s="33" t="n"/>
      <c r="S72" s="34" t="n"/>
      <c r="T72" s="26" t="inlineStr">
        <is>
          <t>https://www.linkedin.com/in/dolevelbaz/</t>
        </is>
      </c>
      <c r="U72" s="29" t="inlineStr">
        <is>
          <t>dolevelb@gmail.com</t>
        </is>
      </c>
      <c r="V72" s="29" t="inlineStr">
        <is>
          <t>+972525677675</t>
        </is>
      </c>
      <c r="W72" s="28" t="inlineStr">
        <is>
          <t>One of the strongest systems profiles in the roster: built DDoS-protection datapath for Azure's edge in DPDK + Rust as tech lead ('high performance at scale'), embedded Linux + x86 virtualization background, Israel-Defense-Prize-winning projects, Psagot. Exactly the kernel/datapath engineering Joulix needs - but he is co-founder/CTO of his own funded startup, so availability is ~0. Track closely.</t>
        </is>
      </c>
      <c r="X72" s="33" t="n"/>
    </row>
    <row r="73" ht="30" customHeight="1">
      <c r="A73" s="26" t="n">
        <v>73</v>
      </c>
      <c r="B73" s="26" t="inlineStr">
        <is>
          <t>Georgy Melamed</t>
        </is>
      </c>
      <c r="C73" s="29" t="n"/>
      <c r="D73" s="26" t="inlineStr">
        <is>
          <t>#3</t>
        </is>
      </c>
      <c r="E73" s="26" t="n"/>
      <c r="F73" s="26" t="n"/>
      <c r="G73" s="26" t="inlineStr">
        <is>
          <t>Walmart Global Tech</t>
        </is>
      </c>
      <c r="H73" s="28" t="inlineStr">
        <is>
          <t>Principal Scientist</t>
        </is>
      </c>
      <c r="I73" s="29" t="inlineStr">
        <is>
          <t>Israel</t>
        </is>
      </c>
      <c r="J73" s="26" t="n"/>
      <c r="K73" s="36" t="inlineStr">
        <is>
          <t>B</t>
        </is>
      </c>
      <c r="L73" s="29" t="n"/>
      <c r="M73" s="33" t="n"/>
      <c r="N73" s="33" t="n"/>
      <c r="O73" s="33" t="n"/>
      <c r="P73" s="34" t="n"/>
      <c r="Q73" s="29" t="n"/>
      <c r="R73" s="33" t="n"/>
      <c r="S73" s="34" t="n"/>
      <c r="T73" s="26" t="inlineStr">
        <is>
          <t>https://www.linkedin.com/in/georgy-melamed-0315a71</t>
        </is>
      </c>
      <c r="U73" s="29" t="inlineStr">
        <is>
          <t>gmelamed@gmail.com</t>
        </is>
      </c>
      <c r="V73" s="29" t="inlineStr">
        <is>
          <t>+972523872832</t>
        </is>
      </c>
      <c r="W73" s="28" t="inlineStr">
        <is>
          <t>Principal applied scientist (machine vision), ex-Amazon, ex-PrimeSense. Strong applied AI; no power/GPU-systems record.</t>
        </is>
      </c>
      <c r="X73" s="33" t="n"/>
    </row>
    <row r="74" ht="30" customHeight="1">
      <c r="A74" s="26" t="n">
        <v>74</v>
      </c>
      <c r="B74" s="26" t="inlineStr">
        <is>
          <t>Guy Goldenberg</t>
        </is>
      </c>
      <c r="C74" s="29" t="n"/>
      <c r="D74" s="26" t="inlineStr">
        <is>
          <t>#3</t>
        </is>
      </c>
      <c r="E74" s="26" t="n"/>
      <c r="F74" s="26" t="n"/>
      <c r="G74" s="26" t="inlineStr">
        <is>
          <t>Wiz</t>
        </is>
      </c>
      <c r="H74" s="28" t="inlineStr">
        <is>
          <t>Senior SWE / Security Researcher</t>
        </is>
      </c>
      <c r="I74" s="29" t="inlineStr">
        <is>
          <t>Tel Aviv District, Israel</t>
        </is>
      </c>
      <c r="J74" s="26" t="inlineStr">
        <is>
          <t>security</t>
        </is>
      </c>
      <c r="K74" s="36" t="inlineStr">
        <is>
          <t>B</t>
        </is>
      </c>
      <c r="L74" s="29" t="n"/>
      <c r="M74" s="33" t="n"/>
      <c r="N74" s="33" t="n"/>
      <c r="O74" s="33" t="n"/>
      <c r="P74" s="34" t="n"/>
      <c r="Q74" s="29" t="n"/>
      <c r="R74" s="33" t="n"/>
      <c r="S74" s="34" t="n"/>
      <c r="T74" s="26" t="inlineStr">
        <is>
          <t>https://www.linkedin.com/in/guy-goldenberg</t>
        </is>
      </c>
      <c r="U74" s="29" t="inlineStr">
        <is>
          <t>guy.goldenberg@gmail.com</t>
        </is>
      </c>
      <c r="V74" s="29" t="inlineStr">
        <is>
          <t>+972542172153</t>
        </is>
      </c>
      <c r="W74" s="28" t="inlineStr">
        <is>
          <t>Senior engineer on Wiz's ASM product line; published vulnerability research. Elite cyber engineering, wrong domain.</t>
        </is>
      </c>
      <c r="X74" s="33" t="n"/>
    </row>
    <row r="75" ht="30" customHeight="1">
      <c r="A75" s="26" t="n">
        <v>77</v>
      </c>
      <c r="B75" s="26" t="inlineStr">
        <is>
          <t>Hillel Twersky</t>
        </is>
      </c>
      <c r="C75" s="29" t="n"/>
      <c r="D75" s="26" t="inlineStr">
        <is>
          <t>#3</t>
        </is>
      </c>
      <c r="E75" s="26" t="n"/>
      <c r="F75" s="26" t="n"/>
      <c r="G75" s="26" t="inlineStr">
        <is>
          <t>Carefam (AI healthcare hiring, $10.5M raised)</t>
        </is>
      </c>
      <c r="H75" s="28" t="n"/>
      <c r="I75" s="29" t="inlineStr">
        <is>
          <t>Tel Aviv District, Israel</t>
        </is>
      </c>
      <c r="J75" s="26" t="inlineStr">
        <is>
          <t>ai-ml</t>
        </is>
      </c>
      <c r="K75" s="35" t="inlineStr">
        <is>
          <t>C</t>
        </is>
      </c>
      <c r="L75" s="29" t="n"/>
      <c r="M75" s="33" t="n"/>
      <c r="N75" s="33" t="n"/>
      <c r="O75" s="33" t="n"/>
      <c r="P75" s="34" t="n"/>
      <c r="Q75" s="29" t="n"/>
      <c r="R75" s="33" t="n"/>
      <c r="S75" s="34" t="n"/>
      <c r="T75" s="26" t="inlineStr">
        <is>
          <t>https://www.linkedin.com/in/hillel-twersky</t>
        </is>
      </c>
      <c r="U75" s="29" t="inlineStr">
        <is>
          <t>hilleltwersky@gmail.com</t>
        </is>
      </c>
      <c r="V75" s="29" t="inlineStr">
        <is>
          <t>+972545258759</t>
        </is>
      </c>
      <c r="W75" s="28" t="inlineStr">
        <is>
          <t>At a funded AI-hiring startup; specific role and technical record not publicly verifiable against the criteria.</t>
        </is>
      </c>
      <c r="X75" s="33" t="n"/>
    </row>
    <row r="76" ht="30" customHeight="1">
      <c r="A76" s="26" t="n">
        <v>96</v>
      </c>
      <c r="B76" s="26" t="inlineStr">
        <is>
          <t>Idan Lev-Yehudi</t>
        </is>
      </c>
      <c r="C76" s="29" t="n"/>
      <c r="D76" s="26" t="inlineStr">
        <is>
          <t>#3</t>
        </is>
      </c>
      <c r="E76" s="26" t="n"/>
      <c r="F76" s="26" t="inlineStr">
        <is>
          <t>Talpiot</t>
        </is>
      </c>
      <c r="G76" s="26" t="inlineStr">
        <is>
          <t>Technion Autonomous Systems (POMDP planning)</t>
        </is>
      </c>
      <c r="H76" s="28" t="inlineStr">
        <is>
          <t>PhD</t>
        </is>
      </c>
      <c r="I76" s="29" t="inlineStr">
        <is>
          <t>Tel Aviv-Yafo, Tel Aviv District, Israel</t>
        </is>
      </c>
      <c r="J76" s="26" t="inlineStr">
        <is>
          <t>research</t>
        </is>
      </c>
      <c r="K76" s="36" t="inlineStr">
        <is>
          <t>B</t>
        </is>
      </c>
      <c r="L76" s="29" t="n"/>
      <c r="M76" s="33" t="n"/>
      <c r="N76" s="33" t="n"/>
      <c r="O76" s="33" t="n"/>
      <c r="P76" s="34" t="n"/>
      <c r="Q76" s="29" t="n"/>
      <c r="R76" s="33" t="n"/>
      <c r="S76" s="34" t="n"/>
      <c r="T76" s="26" t="inlineStr">
        <is>
          <t>https://il.linkedin.com/in/idan-lev-yehudi</t>
        </is>
      </c>
      <c r="U76" s="29" t="inlineStr">
        <is>
          <t>idanly98@gmail.com</t>
        </is>
      </c>
      <c r="V76" s="29" t="inlineStr">
        <is>
          <t>+972523059999</t>
        </is>
      </c>
      <c r="W76" s="28" t="inlineStr">
        <is>
          <t>Talpiot, ex-Google, publishes at AAAI/RA-L on real-time planning under uncertainty with formal guarantees, where computational cost of models is the core constraint - the intellectual core of Joulix's control loop (decide fast, under uncertainty, with guarantees). No GPU-systems production record; would need a systems counterpart. Best pure 'founding algorithms engineer' bet in cohort #3.</t>
        </is>
      </c>
      <c r="X76" s="33" t="n"/>
    </row>
    <row r="77" ht="30" customHeight="1">
      <c r="A77" s="26" t="n">
        <v>95</v>
      </c>
      <c r="B77" s="26" t="inlineStr">
        <is>
          <t>Ido Ben Tsion</t>
        </is>
      </c>
      <c r="C77" s="29" t="n"/>
      <c r="D77" s="26" t="inlineStr">
        <is>
          <t>#3</t>
        </is>
      </c>
      <c r="E77" s="26" t="n"/>
      <c r="F77" s="26" t="n"/>
      <c r="G77" s="26" t="inlineStr">
        <is>
          <t>Toga Networks-a Huawei Company</t>
        </is>
      </c>
      <c r="H77" s="28" t="inlineStr">
        <is>
          <t>AI Systems Engineer | GPU/NPU Performance, LLM Fine-Tuning, AI-Assisted Development</t>
        </is>
      </c>
      <c r="I77" s="29" t="inlineStr">
        <is>
          <t>Israel</t>
        </is>
      </c>
      <c r="J77" s="26" t="n"/>
      <c r="K77" s="35" t="inlineStr">
        <is>
          <t>C</t>
        </is>
      </c>
      <c r="L77" s="29" t="n"/>
      <c r="M77" s="33" t="n"/>
      <c r="N77" s="33" t="n"/>
      <c r="O77" s="33" t="n"/>
      <c r="P77" s="34" t="n"/>
      <c r="Q77" s="29" t="n"/>
      <c r="R77" s="33" t="n"/>
      <c r="S77" s="34" t="n"/>
      <c r="T77" s="26" t="inlineStr">
        <is>
          <t>https://www.linkedin.com/in/ibentsion</t>
        </is>
      </c>
      <c r="U77" s="29" t="inlineStr">
        <is>
          <t>ibentsion@gmail.com</t>
        </is>
      </c>
      <c r="V77" s="29" t="inlineStr">
        <is>
          <t>+972523322722</t>
        </is>
      </c>
      <c r="W77" s="28" t="inlineStr">
        <is>
          <t>Web search returned no reliable public disambiguation for this name.</t>
        </is>
      </c>
      <c r="X77" s="33" t="n"/>
    </row>
    <row r="78" ht="30" customHeight="1">
      <c r="A78" s="26" t="n">
        <v>65</v>
      </c>
      <c r="B78" s="26" t="inlineStr">
        <is>
          <t>Ilan Godik</t>
        </is>
      </c>
      <c r="C78" s="29" t="n"/>
      <c r="D78" s="26" t="inlineStr">
        <is>
          <t>#3</t>
        </is>
      </c>
      <c r="E78" s="26" t="n"/>
      <c r="F78" s="26" t="n"/>
      <c r="G78" s="26" t="n"/>
      <c r="H78" s="28" t="inlineStr">
        <is>
          <t>Research Assistant at The Open University of Israel</t>
        </is>
      </c>
      <c r="I78" s="29" t="inlineStr">
        <is>
          <t>Israel</t>
        </is>
      </c>
      <c r="J78" s="26" t="n"/>
      <c r="K78" s="35" t="inlineStr">
        <is>
          <t>C</t>
        </is>
      </c>
      <c r="L78" s="29" t="n"/>
      <c r="M78" s="33" t="n"/>
      <c r="N78" s="33" t="n"/>
      <c r="O78" s="33" t="n"/>
      <c r="P78" s="34" t="n"/>
      <c r="Q78" s="29" t="n"/>
      <c r="R78" s="33" t="n"/>
      <c r="S78" s="34" t="n"/>
      <c r="T78" s="26" t="inlineStr">
        <is>
          <t>https://il.linkedin.com/in/ilan-godik-20a47464</t>
        </is>
      </c>
      <c r="U78" s="29" t="inlineStr">
        <is>
          <t>ilan3580@gmail.com</t>
        </is>
      </c>
      <c r="V78" s="29" t="inlineStr">
        <is>
          <t>+972503028929</t>
        </is>
      </c>
      <c r="W78" s="28" t="inlineStr">
        <is>
          <t>Public footprint shows serious functional-programming/type-theory/low-level inclination (active OSS, x86/Haskell/Scala work) - the profile shape of a great kernel engineer - but no verifiable GPU, power, or production-systems record against the criteria. Worth a screening call.</t>
        </is>
      </c>
      <c r="X78" s="33" t="n"/>
    </row>
    <row r="79" ht="30" customHeight="1">
      <c r="A79" s="26" t="n">
        <v>67</v>
      </c>
      <c r="B79" s="26" t="inlineStr">
        <is>
          <t>Itamar Gilad</t>
        </is>
      </c>
      <c r="C79" s="29" t="n"/>
      <c r="D79" s="26" t="inlineStr">
        <is>
          <t>#3</t>
        </is>
      </c>
      <c r="E79" s="26" t="n"/>
      <c r="F79" s="26" t="n"/>
      <c r="G79" s="26" t="inlineStr">
        <is>
          <t>Wiz</t>
        </is>
      </c>
      <c r="H79" s="28" t="inlineStr">
        <is>
          <t>Threat Detection Lead</t>
        </is>
      </c>
      <c r="I79" s="29" t="inlineStr">
        <is>
          <t>Israel</t>
        </is>
      </c>
      <c r="J79" s="26" t="inlineStr">
        <is>
          <t>security</t>
        </is>
      </c>
      <c r="K79" s="36" t="inlineStr">
        <is>
          <t>B</t>
        </is>
      </c>
      <c r="L79" s="29" t="n"/>
      <c r="M79" s="33" t="n"/>
      <c r="N79" s="33" t="n"/>
      <c r="O79" s="33" t="n"/>
      <c r="P79" s="34" t="n"/>
      <c r="Q79" s="29" t="n"/>
      <c r="R79" s="33" t="n"/>
      <c r="S79" s="34" t="n"/>
      <c r="T79" s="26" t="inlineStr">
        <is>
          <t>https://www.linkedin.com/in/igilad/</t>
        </is>
      </c>
      <c r="U79" s="29" t="inlineStr">
        <is>
          <t>itamar.gilad@wiz.io</t>
        </is>
      </c>
      <c r="V79" s="29" t="inlineStr">
        <is>
          <t>+972504787314</t>
        </is>
      </c>
      <c r="W79" s="28" t="inlineStr">
        <is>
          <t>Threat-detection lead at Wiz, ex-Microsoft architecture &amp; security lead for large-scale data services. Elite security engineering; no power/GPU/performance record.</t>
        </is>
      </c>
      <c r="X79" s="33" t="n"/>
    </row>
    <row r="80" ht="30" customHeight="1">
      <c r="A80" s="26" t="n">
        <v>66</v>
      </c>
      <c r="B80" s="26" t="inlineStr">
        <is>
          <t>Itay Gissis</t>
        </is>
      </c>
      <c r="C80" s="29" t="n"/>
      <c r="D80" s="26" t="inlineStr">
        <is>
          <t>#3</t>
        </is>
      </c>
      <c r="E80" s="26" t="n"/>
      <c r="F80" s="26" t="inlineStr">
        <is>
          <t>Psagot</t>
        </is>
      </c>
      <c r="G80" s="26" t="inlineStr">
        <is>
          <t>nT-Tao (compact fusion)</t>
        </is>
      </c>
      <c r="H80" s="28" t="inlineStr">
        <is>
          <t>VP R&amp;D</t>
        </is>
      </c>
      <c r="I80" s="29" t="inlineStr">
        <is>
          <t>Center District, Israel</t>
        </is>
      </c>
      <c r="J80" s="26" t="inlineStr">
        <is>
          <t>research</t>
        </is>
      </c>
      <c r="K80" s="36" t="inlineStr">
        <is>
          <t>B</t>
        </is>
      </c>
      <c r="L80" s="29" t="n"/>
      <c r="M80" s="33" t="n"/>
      <c r="N80" s="33" t="n"/>
      <c r="O80" s="33" t="n"/>
      <c r="P80" s="34" t="n"/>
      <c r="Q80" s="29" t="n"/>
      <c r="R80" s="33" t="n"/>
      <c r="S80" s="34" t="n"/>
      <c r="T80" s="26" t="inlineStr">
        <is>
          <t>https://www.linkedin.com/in/itay-gissis/</t>
        </is>
      </c>
      <c r="U80" s="29" t="inlineStr">
        <is>
          <t>itaigiss@gmail.com</t>
        </is>
      </c>
      <c r="V80" s="29" t="inlineStr">
        <is>
          <t>+972504039870</t>
        </is>
      </c>
      <c r="W80" s="28" t="inlineStr">
        <is>
          <t>VP R&amp;D at a fusion-energy startup pitching power for the data-hungry world; Technion PhD in pulsed power/plasma. Deep energy-domain physics + multidisciplinary R&amp;D leadership. Not GPU software; committed to nT-Tao. Excellent energy-domain advisor.</t>
        </is>
      </c>
      <c r="X80" s="33" t="n"/>
    </row>
    <row r="81" ht="30" customHeight="1">
      <c r="A81" s="26" t="n">
        <v>81</v>
      </c>
      <c r="B81" s="26" t="inlineStr">
        <is>
          <t>Itzhak Bernstein</t>
        </is>
      </c>
      <c r="C81" s="29" t="n"/>
      <c r="D81" s="26" t="inlineStr">
        <is>
          <t>#3</t>
        </is>
      </c>
      <c r="E81" s="26" t="n"/>
      <c r="F81" s="26" t="n"/>
      <c r="G81" s="26" t="n"/>
      <c r="H81" s="28" t="inlineStr">
        <is>
          <t>Tech Executive Bridging Deep-Tech and Software at Scale | Cyber, Data &amp; AI, RF | System Architecture &amp; Engineering Leadership  |  Project Execution |  TALPIOT |  8200  |  Unit 81</t>
        </is>
      </c>
      <c r="I81" s="29" t="inlineStr">
        <is>
          <t>Tel Aviv-Yafo, Tel Aviv District, Israel</t>
        </is>
      </c>
      <c r="J81" s="26" t="n"/>
      <c r="K81" s="35" t="inlineStr">
        <is>
          <t>C</t>
        </is>
      </c>
      <c r="L81" s="29" t="n"/>
      <c r="M81" s="33" t="n"/>
      <c r="N81" s="33" t="n"/>
      <c r="O81" s="33" t="n"/>
      <c r="P81" s="34" t="n"/>
      <c r="Q81" s="29" t="n"/>
      <c r="R81" s="33" t="n"/>
      <c r="S81" s="34" t="n"/>
      <c r="T81" s="26" t="inlineStr">
        <is>
          <t>https://www.linkedin.com/in/itzhak-bernstein-606808153</t>
        </is>
      </c>
      <c r="U81" s="29" t="inlineStr">
        <is>
          <t>yitzhokt2@gmail.com</t>
        </is>
      </c>
      <c r="V81" s="29" t="inlineStr">
        <is>
          <t>+972529280436</t>
        </is>
      </c>
      <c r="W81" s="28" t="inlineStr">
        <is>
          <t>Web search returned no reliable public technical record for this profile.</t>
        </is>
      </c>
      <c r="X81" s="33" t="n"/>
    </row>
    <row r="82" ht="30" customHeight="1">
      <c r="A82" s="26" t="n">
        <v>82</v>
      </c>
      <c r="B82" s="26" t="inlineStr">
        <is>
          <t>Liad Ben Uri</t>
        </is>
      </c>
      <c r="C82" s="29" t="n"/>
      <c r="D82" s="26" t="inlineStr">
        <is>
          <t>#3</t>
        </is>
      </c>
      <c r="E82" s="26" t="n"/>
      <c r="F82" s="26" t="inlineStr">
        <is>
          <t>Talpiot</t>
        </is>
      </c>
      <c r="G82" s="26" t="inlineStr">
        <is>
          <t>Weizmann (Milo lab, Nature co-author)</t>
        </is>
      </c>
      <c r="H82" s="28" t="inlineStr">
        <is>
          <t>PhD</t>
        </is>
      </c>
      <c r="I82" s="29" t="inlineStr">
        <is>
          <t>Haifa, Haifa District, Israel</t>
        </is>
      </c>
      <c r="J82" s="26" t="inlineStr">
        <is>
          <t>research</t>
        </is>
      </c>
      <c r="K82" s="36" t="inlineStr">
        <is>
          <t>B</t>
        </is>
      </c>
      <c r="L82" s="29" t="n"/>
      <c r="M82" s="33" t="n"/>
      <c r="N82" s="33" t="n"/>
      <c r="O82" s="33" t="n"/>
      <c r="P82" s="34" t="n"/>
      <c r="Q82" s="29" t="n"/>
      <c r="R82" s="33" t="n"/>
      <c r="S82" s="34" t="n"/>
      <c r="T82" s="26" t="inlineStr">
        <is>
          <t>https://www.linkedin.com/in/liad-ben-uri-58a034167</t>
        </is>
      </c>
      <c r="U82" s="29" t="inlineStr">
        <is>
          <t>liadgo2@gmail.com</t>
        </is>
      </c>
      <c r="V82" s="29" t="inlineStr">
        <is>
          <t>+972546326372</t>
        </is>
      </c>
      <c r="W82" s="28" t="inlineStr">
        <is>
          <t>Rare combination for Joulix: twice Israel Defense Prize for physics-based sensing + AI in complex sensor systems, then managed the Israeli Air Force's Energy Division (renewable energy, efficiency, IDF climate plan), Technion MSc in AI, Talpiot. Literal energy-management leadership + elite AI - the best conceptual match in cohort #3. Currently committed to a Weizmann PhD.</t>
        </is>
      </c>
      <c r="X82" s="33" t="n"/>
    </row>
    <row r="83" ht="30" customHeight="1">
      <c r="A83" s="26" t="n">
        <v>85</v>
      </c>
      <c r="B83" s="26" t="inlineStr">
        <is>
          <t>Mark Popov</t>
        </is>
      </c>
      <c r="C83" s="29" t="n"/>
      <c r="D83" s="26" t="inlineStr">
        <is>
          <t>#3</t>
        </is>
      </c>
      <c r="E83" s="26" t="n"/>
      <c r="F83" s="26" t="n"/>
      <c r="G83" s="26" t="inlineStr">
        <is>
          <t>Vayyar Imaging</t>
        </is>
      </c>
      <c r="H83" s="28" t="inlineStr">
        <is>
          <t>Chief Platform Innovation Officer</t>
        </is>
      </c>
      <c r="I83" s="29" t="inlineStr">
        <is>
          <t>Israel</t>
        </is>
      </c>
      <c r="J83" s="26" t="inlineStr">
        <is>
          <t>infra-systems</t>
        </is>
      </c>
      <c r="K83" s="36" t="inlineStr">
        <is>
          <t>B</t>
        </is>
      </c>
      <c r="L83" s="29" t="n"/>
      <c r="M83" s="33" t="n"/>
      <c r="N83" s="33" t="n"/>
      <c r="O83" s="33" t="n"/>
      <c r="P83" s="34" t="n"/>
      <c r="Q83" s="29" t="n"/>
      <c r="R83" s="33" t="n"/>
      <c r="S83" s="34" t="n"/>
      <c r="T83" s="26" t="inlineStr">
        <is>
          <t>https://www.linkedin.com/in/mark-popov-92759b77</t>
        </is>
      </c>
      <c r="U83" s="29" t="inlineStr">
        <is>
          <t>mark.popov@gmail.com</t>
        </is>
      </c>
      <c r="V83" s="29" t="inlineStr">
        <is>
          <t>+972544321050</t>
        </is>
      </c>
      <c r="W83" s="28" t="inlineStr">
        <is>
          <t>C-level platform/innovation leadership at an RF-imaging chip company - real hardware-platform depth at a semiconductor player. Senior and committed; no GPU/power-software record.</t>
        </is>
      </c>
      <c r="X83" s="33" t="n"/>
    </row>
    <row r="84" ht="30" customHeight="1">
      <c r="A84" s="26" t="n">
        <v>87</v>
      </c>
      <c r="B84" s="26" t="inlineStr">
        <is>
          <t>Matan Shoef</t>
        </is>
      </c>
      <c r="C84" s="29" t="n"/>
      <c r="D84" s="26" t="inlineStr">
        <is>
          <t>#3</t>
        </is>
      </c>
      <c r="E84" s="26" t="n"/>
      <c r="F84" s="26" t="n"/>
      <c r="G84" s="26" t="inlineStr">
        <is>
          <t>OpenEyes</t>
        </is>
      </c>
      <c r="H84" s="28" t="inlineStr">
        <is>
          <t>Algorithms Team Lead</t>
        </is>
      </c>
      <c r="I84" s="29" t="inlineStr">
        <is>
          <t>Israel</t>
        </is>
      </c>
      <c r="J84" s="26" t="inlineStr">
        <is>
          <t>ai-ml</t>
        </is>
      </c>
      <c r="K84" s="36" t="inlineStr">
        <is>
          <t>B</t>
        </is>
      </c>
      <c r="L84" s="29" t="n"/>
      <c r="M84" s="33" t="n"/>
      <c r="N84" s="33" t="n"/>
      <c r="O84" s="33" t="n"/>
      <c r="P84" s="34" t="n"/>
      <c r="Q84" s="29" t="n"/>
      <c r="R84" s="33" t="n"/>
      <c r="S84" s="34" t="n"/>
      <c r="T84" s="26" t="inlineStr">
        <is>
          <t>https://il.linkedin.com/in/matan-shoef-05a22a155</t>
        </is>
      </c>
      <c r="U84" s="29" t="inlineStr">
        <is>
          <t>matan.shoef@gmail.com</t>
        </is>
      </c>
      <c r="V84" s="29" t="inlineStr">
        <is>
          <t>+972545221060</t>
        </is>
      </c>
      <c r="W84" s="28" t="inlineStr">
        <is>
          <t>Algorithms team lead, ex-Samsung R&amp;D, Technion EE. Solid algo engineering; no domain evidence.</t>
        </is>
      </c>
      <c r="X84" s="33" t="n"/>
    </row>
    <row r="85" ht="30" customHeight="1">
      <c r="A85" s="26" t="n">
        <v>84</v>
      </c>
      <c r="B85" s="26" t="inlineStr">
        <is>
          <t>Maya Kleinstein</t>
        </is>
      </c>
      <c r="C85" s="29" t="n"/>
      <c r="D85" s="26" t="inlineStr">
        <is>
          <t>#3</t>
        </is>
      </c>
      <c r="E85" s="26" t="n"/>
      <c r="F85" s="26" t="n"/>
      <c r="G85" s="26" t="n"/>
      <c r="H85" s="28" t="inlineStr">
        <is>
          <t>Unknown</t>
        </is>
      </c>
      <c r="I85" s="29" t="n"/>
      <c r="J85" s="26" t="n"/>
      <c r="K85" s="35" t="inlineStr">
        <is>
          <t>C</t>
        </is>
      </c>
      <c r="L85" s="29" t="n"/>
      <c r="M85" s="33" t="n"/>
      <c r="N85" s="33" t="n"/>
      <c r="O85" s="33" t="n"/>
      <c r="P85" s="34" t="n"/>
      <c r="Q85" s="29" t="n"/>
      <c r="R85" s="33" t="n"/>
      <c r="S85" s="34" t="n"/>
      <c r="T85" s="26" t="n"/>
      <c r="U85" s="29" t="inlineStr">
        <is>
          <t>mayak144@gmail.com</t>
        </is>
      </c>
      <c r="V85" s="29" t="inlineStr">
        <is>
          <t>+972552242152</t>
        </is>
      </c>
      <c r="W85" s="28" t="inlineStr">
        <is>
          <t>No LinkedIn in roster; no reliable public record found.</t>
        </is>
      </c>
      <c r="X85" s="33" t="n"/>
    </row>
    <row r="86" ht="30" customHeight="1">
      <c r="A86" s="26" t="n">
        <v>83</v>
      </c>
      <c r="B86" s="26" t="inlineStr">
        <is>
          <t>Maya Naveh</t>
        </is>
      </c>
      <c r="C86" s="29" t="n"/>
      <c r="D86" s="26" t="inlineStr">
        <is>
          <t>#3</t>
        </is>
      </c>
      <c r="E86" s="26" t="n"/>
      <c r="F86" s="26" t="n"/>
      <c r="G86" s="26" t="n"/>
      <c r="H86" s="28" t="inlineStr">
        <is>
          <t>Unknown</t>
        </is>
      </c>
      <c r="I86" s="29" t="n"/>
      <c r="J86" s="26" t="n"/>
      <c r="K86" s="35" t="inlineStr">
        <is>
          <t>C</t>
        </is>
      </c>
      <c r="L86" s="29" t="n"/>
      <c r="M86" s="33" t="n"/>
      <c r="N86" s="33" t="n"/>
      <c r="O86" s="33" t="n"/>
      <c r="P86" s="34" t="n"/>
      <c r="Q86" s="29" t="n"/>
      <c r="R86" s="33" t="n"/>
      <c r="S86" s="34" t="n"/>
      <c r="T86" s="26" t="n"/>
      <c r="U86" s="29" t="inlineStr">
        <is>
          <t>maya.naveh.40@gmail.com</t>
        </is>
      </c>
      <c r="V86" s="29" t="inlineStr">
        <is>
          <t>+972504291882</t>
        </is>
      </c>
      <c r="W86" s="28" t="inlineStr">
        <is>
          <t>No LinkedIn in roster; web search returned no reliable disambiguation.</t>
        </is>
      </c>
      <c r="X86" s="33" t="n"/>
    </row>
    <row r="87" ht="30" customHeight="1">
      <c r="A87" s="26" t="n">
        <v>86</v>
      </c>
      <c r="B87" s="26" t="inlineStr">
        <is>
          <t>Menachem Menasherov</t>
        </is>
      </c>
      <c r="C87" s="29" t="n"/>
      <c r="D87" s="26" t="inlineStr">
        <is>
          <t>#3</t>
        </is>
      </c>
      <c r="E87" s="26" t="n"/>
      <c r="F87" s="26" t="n"/>
      <c r="G87" s="26" t="n"/>
      <c r="H87" s="28" t="inlineStr">
        <is>
          <t>Unknown</t>
        </is>
      </c>
      <c r="I87" s="29" t="n"/>
      <c r="J87" s="26" t="n"/>
      <c r="K87" s="35" t="inlineStr">
        <is>
          <t>C</t>
        </is>
      </c>
      <c r="L87" s="29" t="n"/>
      <c r="M87" s="33" t="n"/>
      <c r="N87" s="33" t="n"/>
      <c r="O87" s="33" t="n"/>
      <c r="P87" s="34" t="n"/>
      <c r="Q87" s="29" t="n"/>
      <c r="R87" s="33" t="n"/>
      <c r="S87" s="34" t="n"/>
      <c r="T87" s="26" t="n"/>
      <c r="U87" s="29" t="inlineStr">
        <is>
          <t>meny1237@gmail.com</t>
        </is>
      </c>
      <c r="V87" s="29" t="inlineStr">
        <is>
          <t>+972542338686</t>
        </is>
      </c>
      <c r="W87" s="28" t="inlineStr">
        <is>
          <t>No LinkedIn in roster; no reliable public record found.</t>
        </is>
      </c>
      <c r="X87" s="33" t="n"/>
    </row>
    <row r="88" ht="30" customHeight="1">
      <c r="A88" s="26" t="n">
        <v>90</v>
      </c>
      <c r="B88" s="26" t="inlineStr">
        <is>
          <t>Nadav Claude Cohen</t>
        </is>
      </c>
      <c r="C88" s="29" t="n"/>
      <c r="D88" s="26" t="inlineStr">
        <is>
          <t>#3</t>
        </is>
      </c>
      <c r="E88" s="26" t="n"/>
      <c r="F88" s="26" t="n"/>
      <c r="G88" s="26" t="n"/>
      <c r="H88" s="28" t="inlineStr">
        <is>
          <t>Stealth; reverse-engineering / binary-exploitation background</t>
        </is>
      </c>
      <c r="I88" s="29" t="inlineStr">
        <is>
          <t>Tel Aviv District, Israel</t>
        </is>
      </c>
      <c r="J88" s="26" t="inlineStr">
        <is>
          <t>security</t>
        </is>
      </c>
      <c r="K88" s="32" t="inlineStr">
        <is>
          <t>A</t>
        </is>
      </c>
      <c r="L88" s="29" t="n"/>
      <c r="M88" s="33" t="n"/>
      <c r="N88" s="33" t="n"/>
      <c r="O88" s="33" t="n"/>
      <c r="P88" s="34" t="n"/>
      <c r="Q88" s="29" t="n"/>
      <c r="R88" s="33" t="n"/>
      <c r="S88" s="34" t="n"/>
      <c r="T88" s="26" t="inlineStr">
        <is>
          <t>https://www.linkedin.com/in/nadav-claude-cohen-8533b2a2/</t>
        </is>
      </c>
      <c r="U88" s="29" t="inlineStr">
        <is>
          <t>nadav.claude.cohen@gmail.com</t>
        </is>
      </c>
      <c r="V88" s="29" t="inlineStr">
        <is>
          <t>+972543134989</t>
        </is>
      </c>
      <c r="W88" s="28" t="inlineStr">
        <is>
          <t>Personal blog demonstrates real low-level depth (ASLR/PIE exploitation, RE). Profile shape of a systems engineer; currently at stealth; no verifiable GPU/power record.</t>
        </is>
      </c>
      <c r="X88" s="33" t="n"/>
    </row>
    <row r="89" ht="30" customHeight="1">
      <c r="A89" s="26" t="n">
        <v>89</v>
      </c>
      <c r="B89" s="26" t="inlineStr">
        <is>
          <t>Nadav Cohen</t>
        </is>
      </c>
      <c r="C89" s="29" t="n"/>
      <c r="D89" s="26" t="inlineStr">
        <is>
          <t>#3</t>
        </is>
      </c>
      <c r="E89" s="26" t="n"/>
      <c r="F89" s="26" t="n"/>
      <c r="G89" s="26" t="inlineStr">
        <is>
          <t>Tel Aviv University</t>
        </is>
      </c>
      <c r="H89" s="28" t="inlineStr">
        <is>
          <t>CTO at Imubit / Prof. of Computer Science &amp; AI</t>
        </is>
      </c>
      <c r="I89" s="29" t="inlineStr">
        <is>
          <t>Houston, Texas, United States of America</t>
        </is>
      </c>
      <c r="J89" s="26" t="inlineStr">
        <is>
          <t>research</t>
        </is>
      </c>
      <c r="K89" s="35" t="inlineStr">
        <is>
          <t>C</t>
        </is>
      </c>
      <c r="L89" s="29" t="n"/>
      <c r="M89" s="33" t="n"/>
      <c r="N89" s="33" t="n"/>
      <c r="O89" s="33" t="n"/>
      <c r="P89" s="34" t="n"/>
      <c r="Q89" s="29" t="n"/>
      <c r="R89" s="33" t="n"/>
      <c r="S89" s="34" t="n"/>
      <c r="T89" s="26" t="inlineStr">
        <is>
          <t>https://www.linkedin.com/in/dr-nadav-cohen-05575825a</t>
        </is>
      </c>
      <c r="U89" s="29" t="inlineStr">
        <is>
          <t>nadav@deepinsight.co.il</t>
        </is>
      </c>
      <c r="V89" s="29" t="n"/>
      <c r="W89" s="28" t="inlineStr">
        <is>
          <t>If this is the Dr. Nadav Cohen of TAU/Imubit - whose company does deep-learning-based real-time control of large industrial facilities, optimizing them for profit and sustainability - it is conceptually the closest match in the entire roster: an RL control layer over physical infrastructure, monetized at scale (his Google Scholar even lists 'Physical AI' and RL). But the roster's LinkedIn slug does not match his known profiles and, if it is him, he is fully committed (professor + CTO). Verify identity before any outreach; would score ~92 on skills.</t>
        </is>
      </c>
      <c r="X89" s="33" t="n"/>
    </row>
    <row r="90" ht="30" customHeight="1">
      <c r="A90" s="26" t="n">
        <v>88</v>
      </c>
      <c r="B90" s="26" t="inlineStr">
        <is>
          <t>Noga Keren</t>
        </is>
      </c>
      <c r="C90" s="29" t="n"/>
      <c r="D90" s="26" t="inlineStr">
        <is>
          <t>#3</t>
        </is>
      </c>
      <c r="E90" s="26" t="n"/>
      <c r="F90" s="26" t="n"/>
      <c r="G90" s="26" t="n"/>
      <c r="H90" s="28" t="inlineStr">
        <is>
          <t>Unknown</t>
        </is>
      </c>
      <c r="I90" s="29" t="inlineStr">
        <is>
          <t>Israel</t>
        </is>
      </c>
      <c r="J90" s="26" t="n"/>
      <c r="K90" s="35" t="inlineStr">
        <is>
          <t>C</t>
        </is>
      </c>
      <c r="L90" s="29" t="n"/>
      <c r="M90" s="33" t="n"/>
      <c r="N90" s="33" t="n"/>
      <c r="O90" s="33" t="n"/>
      <c r="P90" s="34" t="n"/>
      <c r="Q90" s="29" t="n"/>
      <c r="R90" s="33" t="n"/>
      <c r="S90" s="34" t="n"/>
      <c r="T90" s="26" t="inlineStr">
        <is>
          <t>https://www.linkedin.com/in/noga-keren</t>
        </is>
      </c>
      <c r="U90" s="29" t="inlineStr">
        <is>
          <t>noga.keren@gmail.com</t>
        </is>
      </c>
      <c r="V90" s="29" t="inlineStr">
        <is>
          <t>+972586110398</t>
        </is>
      </c>
      <c r="W90" s="28" t="inlineStr">
        <is>
          <t>Web search returned no reliable public disambiguation for this name.</t>
        </is>
      </c>
      <c r="X90" s="33" t="n"/>
    </row>
    <row r="91" ht="30" customHeight="1">
      <c r="A91" s="26" t="n">
        <v>91</v>
      </c>
      <c r="B91" s="26" t="inlineStr">
        <is>
          <t>Noy Hadar</t>
        </is>
      </c>
      <c r="C91" s="29" t="n"/>
      <c r="D91" s="26" t="inlineStr">
        <is>
          <t>#3</t>
        </is>
      </c>
      <c r="E91" s="26" t="n"/>
      <c r="F91" s="26" t="n"/>
      <c r="G91" s="26" t="inlineStr">
        <is>
          <t>Breeze Security</t>
        </is>
      </c>
      <c r="H91" s="28" t="n"/>
      <c r="I91" s="29" t="inlineStr">
        <is>
          <t>Tel Aviv District, Israel</t>
        </is>
      </c>
      <c r="J91" s="26" t="inlineStr">
        <is>
          <t>security</t>
        </is>
      </c>
      <c r="K91" s="35" t="inlineStr">
        <is>
          <t>C</t>
        </is>
      </c>
      <c r="L91" s="29" t="n"/>
      <c r="M91" s="33" t="n"/>
      <c r="N91" s="33" t="n"/>
      <c r="O91" s="33" t="n"/>
      <c r="P91" s="34" t="n"/>
      <c r="Q91" s="29" t="n"/>
      <c r="R91" s="33" t="n"/>
      <c r="S91" s="34" t="n"/>
      <c r="T91" s="26" t="inlineStr">
        <is>
          <t>https://www.linkedin.com/in/noy-hadar-501870181</t>
        </is>
      </c>
      <c r="U91" s="29" t="inlineStr">
        <is>
          <t>noyhadar95@gmail.com</t>
        </is>
      </c>
      <c r="V91" s="29" t="inlineStr">
        <is>
          <t>+972544826333</t>
        </is>
      </c>
      <c r="W91" s="28" t="inlineStr">
        <is>
          <t>At Breeze Security (Dolev Elbaz's startup). No domain evidence.</t>
        </is>
      </c>
      <c r="X91" s="33" t="n"/>
    </row>
    <row r="92" ht="30" customHeight="1">
      <c r="A92" s="26" t="n">
        <v>64</v>
      </c>
      <c r="B92" s="26" t="inlineStr">
        <is>
          <t>Oren Fine</t>
        </is>
      </c>
      <c r="C92" s="29" t="n"/>
      <c r="D92" s="26" t="inlineStr">
        <is>
          <t>#3</t>
        </is>
      </c>
      <c r="E92" s="26" t="n"/>
      <c r="F92" s="26" t="n"/>
      <c r="G92" s="26" t="inlineStr">
        <is>
          <t>Stealth</t>
        </is>
      </c>
      <c r="H92" s="28" t="inlineStr">
        <is>
          <t>Founder</t>
        </is>
      </c>
      <c r="I92" s="29" t="inlineStr">
        <is>
          <t>Israel</t>
        </is>
      </c>
      <c r="J92" s="26" t="inlineStr">
        <is>
          <t>infra-systems</t>
        </is>
      </c>
      <c r="K92" s="32" t="inlineStr">
        <is>
          <t>A</t>
        </is>
      </c>
      <c r="L92" s="29" t="n"/>
      <c r="M92" s="33" t="n"/>
      <c r="N92" s="33" t="n"/>
      <c r="O92" s="33" t="n"/>
      <c r="P92" s="34" t="n"/>
      <c r="Q92" s="29" t="n"/>
      <c r="R92" s="33" t="n"/>
      <c r="S92" s="34" t="n"/>
      <c r="T92" s="26" t="inlineStr">
        <is>
          <t>https://www.linkedin.com/in/orenfine2021/</t>
        </is>
      </c>
      <c r="U92" s="29" t="inlineStr">
        <is>
          <t>orenfine@gmail.com</t>
        </is>
      </c>
      <c r="V92" s="29" t="inlineStr">
        <is>
          <t>+972586392129</t>
        </is>
      </c>
      <c r="W92" s="28" t="inlineStr">
        <is>
          <t>Leads Israel-Innovation-Authority-funded research on ultrafast encrypted-traffic understanding powered by NVIDIA SmartNIC/DPU - genuinely close to modern GPU data-center infrastructure. Building his own stealth startup, so likely unavailable; strong advisor/partner candidate.</t>
        </is>
      </c>
      <c r="X92" s="33" t="n"/>
    </row>
    <row r="93" ht="30" customHeight="1">
      <c r="A93" s="26" t="n">
        <v>94</v>
      </c>
      <c r="B93" s="26" t="inlineStr">
        <is>
          <t>Oz Tamir</t>
        </is>
      </c>
      <c r="C93" s="29" t="n"/>
      <c r="D93" s="26" t="inlineStr">
        <is>
          <t>#3</t>
        </is>
      </c>
      <c r="E93" s="26" t="n"/>
      <c r="F93" s="26" t="inlineStr">
        <is>
          <t>ARAM (Aramcon speaker)</t>
        </is>
      </c>
      <c r="G93" s="26" t="n"/>
      <c r="H93" s="28" t="inlineStr">
        <is>
          <t>Builder; AI harness engineering speaker; embedded hobbyist</t>
        </is>
      </c>
      <c r="I93" s="29" t="inlineStr">
        <is>
          <t>Tel Aviv-Yafo, Tel Aviv District, Israel</t>
        </is>
      </c>
      <c r="J93" s="26" t="inlineStr">
        <is>
          <t>ai-ml</t>
        </is>
      </c>
      <c r="K93" s="35" t="inlineStr">
        <is>
          <t>C</t>
        </is>
      </c>
      <c r="L93" s="29" t="n"/>
      <c r="M93" s="33" t="n"/>
      <c r="N93" s="33" t="n"/>
      <c r="O93" s="33" t="n"/>
      <c r="P93" s="34" t="n"/>
      <c r="Q93" s="29" t="n"/>
      <c r="R93" s="33" t="n"/>
      <c r="S93" s="34" t="n"/>
      <c r="T93" s="26" t="inlineStr">
        <is>
          <t>https://www.linkedin.com/in/oztamir/</t>
        </is>
      </c>
      <c r="U93" s="29" t="inlineStr">
        <is>
          <t>oz@tamir.fun</t>
        </is>
      </c>
      <c r="V93" s="29" t="inlineStr">
        <is>
          <t>+972528645340</t>
        </is>
      </c>
      <c r="W93" s="28" t="inlineStr">
        <is>
          <t>Prolific builder-generalist: talks on AI 'harness engineering' (built a Claude-Code-style agent harness from scratch), OSS incl. x86 assembly and ESP32/embedded projects. High-energy 0-to-1 engineer for the agentic tooling around the product; not a GPU/power-systems specialist.</t>
        </is>
      </c>
      <c r="X93" s="33" t="n"/>
    </row>
    <row r="94" ht="30" customHeight="1">
      <c r="A94" s="26" t="n">
        <v>97</v>
      </c>
      <c r="B94" s="26" t="inlineStr">
        <is>
          <t>Shlomo Lahav</t>
        </is>
      </c>
      <c r="C94" s="29" t="n"/>
      <c r="D94" s="26" t="inlineStr">
        <is>
          <t>#3</t>
        </is>
      </c>
      <c r="E94" s="26" t="n"/>
      <c r="F94" s="26" t="n"/>
      <c r="G94" s="26" t="inlineStr">
        <is>
          <t>TrueNorth Systems</t>
        </is>
      </c>
      <c r="H94" s="28" t="inlineStr">
        <is>
          <t>Co-Founder &amp; CTO</t>
        </is>
      </c>
      <c r="I94" s="29" t="inlineStr">
        <is>
          <t>Israel</t>
        </is>
      </c>
      <c r="J94" s="26" t="n"/>
      <c r="K94" s="32" t="inlineStr">
        <is>
          <t>A</t>
        </is>
      </c>
      <c r="L94" s="29" t="n"/>
      <c r="M94" s="33" t="n"/>
      <c r="N94" s="33" t="n"/>
      <c r="O94" s="33" t="n"/>
      <c r="P94" s="34" t="n"/>
      <c r="Q94" s="29" t="n"/>
      <c r="R94" s="33" t="n"/>
      <c r="S94" s="34" t="n"/>
      <c r="T94" s="26" t="inlineStr">
        <is>
          <t>https://il.linkedin.com/in/shlomolahav</t>
        </is>
      </c>
      <c r="U94" s="29" t="inlineStr">
        <is>
          <t>shlomo@lahavs.com</t>
        </is>
      </c>
      <c r="V94" s="29" t="inlineStr">
        <is>
          <t>+972545330111</t>
        </is>
      </c>
      <c r="W94" s="28" t="inlineStr">
        <is>
          <t>Long-tenured data-science leader (built LivePerson's sentiment/emotion engines), now founding his own company. Senior ML leadership; committed; no power/GPU record.</t>
        </is>
      </c>
      <c r="X94" s="33" t="n"/>
    </row>
    <row r="95" ht="30" customHeight="1">
      <c r="A95" s="26" t="n">
        <v>63</v>
      </c>
      <c r="B95" s="26" t="inlineStr">
        <is>
          <t>Uri Ariel Chen</t>
        </is>
      </c>
      <c r="C95" s="29" t="n"/>
      <c r="D95" s="26" t="inlineStr">
        <is>
          <t>#3</t>
        </is>
      </c>
      <c r="E95" s="26" t="n"/>
      <c r="F95" s="26" t="n"/>
      <c r="G95" s="26" t="n"/>
      <c r="H95" s="28" t="inlineStr">
        <is>
          <t>Intel Granulate</t>
        </is>
      </c>
      <c r="I95" s="29" t="inlineStr">
        <is>
          <t>Tel Aviv District, Israel</t>
        </is>
      </c>
      <c r="J95" s="26" t="inlineStr">
        <is>
          <t>infra-systems</t>
        </is>
      </c>
      <c r="K95" s="35" t="inlineStr">
        <is>
          <t>C</t>
        </is>
      </c>
      <c r="L95" s="29" t="n"/>
      <c r="M95" s="33" t="n"/>
      <c r="N95" s="33" t="n"/>
      <c r="O95" s="33" t="n"/>
      <c r="P95" s="34" t="n"/>
      <c r="Q95" s="29" t="n"/>
      <c r="R95" s="33" t="n"/>
      <c r="S95" s="34" t="n"/>
      <c r="T95" s="26" t="inlineStr">
        <is>
          <t>https://www.linkedin.com/in/uri-chen/</t>
        </is>
      </c>
      <c r="U95" s="29" t="inlineStr">
        <is>
          <t>uriariel10@gmail.com</t>
        </is>
      </c>
      <c r="V95" s="29" t="inlineStr">
        <is>
          <t>+972549703632</t>
        </is>
      </c>
      <c r="W95" s="28" t="inlineStr">
        <is>
          <t>At Intel Granulate - autonomous, real-time, agent-based workload/runtime optimization in production, acquired by Intel. This is the closest commercial analog to Joulix's value proposition (continuous compute-efficiency optimization), on the CPU side. Highest-priority screening call in cohort #3. (Minor caveat: roster slug differs from the public profile found; verify same person.)</t>
        </is>
      </c>
      <c r="X95" s="33" t="n"/>
    </row>
    <row r="96" ht="30" customHeight="1">
      <c r="A96" s="26" t="n">
        <v>80</v>
      </c>
      <c r="B96" s="26" t="inlineStr">
        <is>
          <t>Yaniv Shaked</t>
        </is>
      </c>
      <c r="C96" s="29" t="n"/>
      <c r="D96" s="26" t="inlineStr">
        <is>
          <t>#3</t>
        </is>
      </c>
      <c r="E96" s="26" t="n"/>
      <c r="F96" s="26" t="n"/>
      <c r="G96" s="26" t="inlineStr">
        <is>
          <t>Samsung Israel</t>
        </is>
      </c>
      <c r="H96" s="28" t="inlineStr">
        <is>
          <t>Stealth; ex-Computer Vision Group Leader</t>
        </is>
      </c>
      <c r="I96" s="29" t="inlineStr">
        <is>
          <t>Israel</t>
        </is>
      </c>
      <c r="J96" s="26" t="inlineStr">
        <is>
          <t>ai-ml</t>
        </is>
      </c>
      <c r="K96" s="32" t="inlineStr">
        <is>
          <t>A</t>
        </is>
      </c>
      <c r="L96" s="29" t="n"/>
      <c r="M96" s="33" t="n"/>
      <c r="N96" s="33" t="n"/>
      <c r="O96" s="33" t="n"/>
      <c r="P96" s="34" t="n"/>
      <c r="Q96" s="29" t="n"/>
      <c r="R96" s="33" t="n"/>
      <c r="S96" s="34" t="n"/>
      <c r="T96" s="26" t="inlineStr">
        <is>
          <t>https://www.linkedin.com/in/yaniv-shaked-201b6540/</t>
        </is>
      </c>
      <c r="U96" s="29" t="inlineStr">
        <is>
          <t>yanivsh002@gmail.com</t>
        </is>
      </c>
      <c r="V96" s="29" t="inlineStr">
        <is>
          <t>+972525621097</t>
        </is>
      </c>
      <c r="W96" s="28" t="inlineStr">
        <is>
          <t>Led Samsung Israel's computer-vision group; now at a stealth startup. Strong algo leadership; CV domain, availability unclear.</t>
        </is>
      </c>
      <c r="X96" s="33" t="n"/>
    </row>
    <row r="97" ht="30" customHeight="1">
      <c r="A97" s="26" t="n">
        <v>79</v>
      </c>
      <c r="B97" s="26" t="inlineStr">
        <is>
          <t>Yoni Hornstein</t>
        </is>
      </c>
      <c r="C97" s="29" t="n"/>
      <c r="D97" s="26" t="inlineStr">
        <is>
          <t>#3</t>
        </is>
      </c>
      <c r="E97" s="26" t="n"/>
      <c r="F97" s="26" t="n"/>
      <c r="G97" s="26" t="inlineStr">
        <is>
          <t>Wiz</t>
        </is>
      </c>
      <c r="H97" s="28" t="inlineStr">
        <is>
          <t>Software Engineer</t>
        </is>
      </c>
      <c r="I97" s="29" t="inlineStr">
        <is>
          <t>Tel Aviv-Yafo, Tel Aviv District, Israel</t>
        </is>
      </c>
      <c r="J97" s="26" t="inlineStr">
        <is>
          <t>security</t>
        </is>
      </c>
      <c r="K97" s="35" t="inlineStr">
        <is>
          <t>C</t>
        </is>
      </c>
      <c r="L97" s="29" t="n"/>
      <c r="M97" s="33" t="n"/>
      <c r="N97" s="33" t="n"/>
      <c r="O97" s="33" t="n"/>
      <c r="P97" s="34" t="n"/>
      <c r="Q97" s="29" t="n"/>
      <c r="R97" s="33" t="n"/>
      <c r="S97" s="34" t="n"/>
      <c r="T97" s="26" t="inlineStr">
        <is>
          <t>https://il.linkedin.com/in/yoni-hornstein-082177156</t>
        </is>
      </c>
      <c r="U97" s="29" t="inlineStr">
        <is>
          <t>yoni.horn@gmail.com</t>
        </is>
      </c>
      <c r="V97" s="29" t="inlineStr">
        <is>
          <t>+972502758710</t>
        </is>
      </c>
      <c r="W97" s="28" t="inlineStr">
        <is>
          <t>SWE at Wiz. No domain evidence.</t>
        </is>
      </c>
      <c r="X97" s="33" t="n"/>
    </row>
    <row r="98" ht="30" customHeight="1">
      <c r="A98" s="26" t="n">
        <v>78</v>
      </c>
      <c r="B98" s="26" t="inlineStr">
        <is>
          <t>Yuval Genossar</t>
        </is>
      </c>
      <c r="C98" s="29" t="n"/>
      <c r="D98" s="26" t="inlineStr">
        <is>
          <t>#3</t>
        </is>
      </c>
      <c r="E98" s="26" t="n"/>
      <c r="F98" s="26" t="n"/>
      <c r="G98" s="26" t="inlineStr">
        <is>
          <t>Government of Israel</t>
        </is>
      </c>
      <c r="H98" s="28" t="inlineStr">
        <is>
          <t>Head of R&amp;D Section | Talpiot</t>
        </is>
      </c>
      <c r="I98" s="29" t="inlineStr">
        <is>
          <t>Tel Aviv-Yafo, Tel Aviv District, Israel</t>
        </is>
      </c>
      <c r="J98" s="26" t="n"/>
      <c r="K98" s="35" t="inlineStr">
        <is>
          <t>C</t>
        </is>
      </c>
      <c r="L98" s="29" t="n"/>
      <c r="M98" s="33" t="n"/>
      <c r="N98" s="33" t="n"/>
      <c r="O98" s="33" t="n"/>
      <c r="P98" s="34" t="n"/>
      <c r="Q98" s="29" t="n"/>
      <c r="R98" s="33" t="n"/>
      <c r="S98" s="34" t="n"/>
      <c r="T98" s="26" t="inlineStr">
        <is>
          <t>https://www.linkedin.com/in/yuvalgenossar</t>
        </is>
      </c>
      <c r="U98" s="29" t="inlineStr">
        <is>
          <t>yuval.genossar@gmail.com</t>
        </is>
      </c>
      <c r="V98" s="29" t="inlineStr">
        <is>
          <t>+972547260186</t>
        </is>
      </c>
      <c r="W98" s="28" t="inlineStr">
        <is>
          <t>Web search returned no reliable public disambiguation (results match a different academic).</t>
        </is>
      </c>
      <c r="X98" s="33" t="n"/>
    </row>
  </sheetData>
  <autoFilter ref="A1:X98"/>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showDropDown="0" showInputMessage="0" showErrorMessage="0" allowBlank="1" type="list">
      <formula1>"Known,Connected,Engaged,Contributor,Node"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75"/>
  <sheetViews>
    <sheetView workbookViewId="0">
      <pane ySplit="4" topLeftCell="A5" activePane="bottomLeft" state="frozen"/>
      <selection pane="bottomLeft" activeCell="A1" sqref="A1"/>
    </sheetView>
  </sheetViews>
  <sheetFormatPr baseColWidth="8" defaultRowHeight="15"/>
  <cols>
    <col width="12" customWidth="1" min="1" max="1"/>
    <col width="6" customWidth="1" min="2" max="2"/>
    <col width="11" customWidth="1" min="3" max="3"/>
    <col width="11" customWidth="1" min="4" max="4"/>
    <col width="13" customWidth="1" min="5" max="5"/>
    <col width="12" customWidth="1" min="6" max="6"/>
    <col width="13" customWidth="1" min="7" max="7"/>
    <col width="14" customWidth="1" min="8" max="8"/>
    <col width="14" customWidth="1" min="9" max="9"/>
    <col width="13" customWidth="1" min="10" max="10"/>
    <col width="14" customWidth="1" min="11" max="11"/>
    <col width="12" customWidth="1" min="12" max="12"/>
    <col width="52" customWidth="1" min="13" max="13"/>
  </cols>
  <sheetData>
    <row r="1">
      <c r="A1" s="1" t="inlineStr">
        <is>
          <t>Weekly KPIs</t>
        </is>
      </c>
    </row>
    <row r="2" ht="28" customHeight="1">
      <c r="A2" s="7" t="inlineStr">
        <is>
          <t>§17 — not every number rises every week. We are looking for trend and quality. Grey columns compute themselves from the Call Schedule and the Roster; yellow ones you fill in on Thursday.</t>
        </is>
      </c>
    </row>
    <row r="4" ht="28" customHeight="1">
      <c r="A4" s="24" t="inlineStr">
        <is>
          <t>Week of</t>
        </is>
      </c>
      <c r="B4" s="24" t="inlineStr">
        <is>
          <t>Qtr</t>
        </is>
      </c>
      <c r="C4" s="24" t="inlineStr">
        <is>
          <t>Calls planned</t>
        </is>
      </c>
      <c r="D4" s="24" t="inlineStr">
        <is>
          <t>Calls done</t>
        </is>
      </c>
      <c r="E4" s="24" t="inlineStr">
        <is>
          <t>Alumni info updated</t>
        </is>
      </c>
      <c r="F4" s="24" t="inlineStr">
        <is>
          <t>Quality connections</t>
        </is>
      </c>
      <c r="G4" s="24" t="inlineStr">
        <is>
          <t>Connections → outcome</t>
        </is>
      </c>
      <c r="H4" s="24" t="inlineStr">
        <is>
          <t>Alumni who helped an alum</t>
        </is>
      </c>
      <c r="I4" s="24" t="inlineStr">
        <is>
          <t>Office Hours contributors</t>
        </is>
      </c>
      <c r="J4" s="24" t="inlineStr">
        <is>
          <t>New SF relationships</t>
        </is>
      </c>
      <c r="K4" s="24" t="inlineStr">
        <is>
          <t>Moved Avishag → Nadav</t>
        </is>
      </c>
      <c r="L4" s="24" t="inlineStr">
        <is>
          <t>Needed Avishag</t>
        </is>
      </c>
      <c r="M4" s="24" t="inlineStr">
        <is>
          <t>What I learned / recommend</t>
        </is>
      </c>
    </row>
    <row r="5">
      <c r="A5" s="37" t="inlineStr">
        <is>
          <t>Weekly target</t>
        </is>
      </c>
      <c r="B5" s="37" t="n"/>
      <c r="C5" s="37" t="n"/>
      <c r="D5" s="38" t="n">
        <v>4</v>
      </c>
      <c r="E5" s="38" t="n">
        <v>4</v>
      </c>
      <c r="F5" s="38" t="n">
        <v>3</v>
      </c>
      <c r="G5" s="38" t="n">
        <v>1</v>
      </c>
      <c r="H5" s="38" t="n">
        <v>2</v>
      </c>
      <c r="I5" s="38" t="n">
        <v>1</v>
      </c>
      <c r="J5" s="38" t="n">
        <v>1</v>
      </c>
      <c r="K5" s="38" t="n">
        <v>2</v>
      </c>
      <c r="L5" s="38" t="n">
        <v>2</v>
      </c>
      <c r="M5" s="37" t="n"/>
    </row>
    <row r="6" ht="22" customHeight="1">
      <c r="A6" s="39" t="n">
        <v>46271</v>
      </c>
      <c r="B6" s="40" t="inlineStr">
        <is>
          <t>Q1</t>
        </is>
      </c>
      <c r="C6" s="41">
        <f>COUNTIFS('Call Schedule'!$A$2:$A$190,"&gt;="&amp;$A6,'Call Schedule'!$A$2:$A$190,"&lt;="&amp;$A6+6)</f>
        <v/>
      </c>
      <c r="D6" s="41">
        <f>COUNTIFS('Call Schedule'!$A$2:$A$190,"&gt;="&amp;$A6,'Call Schedule'!$A$2:$A$190,"&lt;="&amp;$A6+6,'Call Schedule'!$L$2:$L$190,"done")</f>
        <v/>
      </c>
      <c r="E6" s="41">
        <f>COUNTIFS(Roster!$P$2:$P$98,"&gt;="&amp;$A6,Roster!$P$2:$P$98,"&lt;="&amp;$A6+6)</f>
        <v/>
      </c>
      <c r="F6" s="42" t="n"/>
      <c r="G6" s="42" t="n"/>
      <c r="H6" s="42" t="n"/>
      <c r="I6" s="42" t="n"/>
      <c r="J6" s="42" t="n"/>
      <c r="K6" s="42" t="n"/>
      <c r="L6" s="42" t="n"/>
      <c r="M6" s="33" t="n"/>
    </row>
    <row r="7" ht="22" customHeight="1">
      <c r="A7" s="39" t="n">
        <v>46278</v>
      </c>
      <c r="B7" s="40" t="inlineStr">
        <is>
          <t>Q1</t>
        </is>
      </c>
      <c r="C7" s="41">
        <f>COUNTIFS('Call Schedule'!$A$2:$A$190,"&gt;="&amp;$A7,'Call Schedule'!$A$2:$A$190,"&lt;="&amp;$A7+6)</f>
        <v/>
      </c>
      <c r="D7" s="41">
        <f>COUNTIFS('Call Schedule'!$A$2:$A$190,"&gt;="&amp;$A7,'Call Schedule'!$A$2:$A$190,"&lt;="&amp;$A7+6,'Call Schedule'!$L$2:$L$190,"done")</f>
        <v/>
      </c>
      <c r="E7" s="41">
        <f>COUNTIFS(Roster!$P$2:$P$98,"&gt;="&amp;$A7,Roster!$P$2:$P$98,"&lt;="&amp;$A7+6)</f>
        <v/>
      </c>
      <c r="F7" s="42" t="n"/>
      <c r="G7" s="42" t="n"/>
      <c r="H7" s="42" t="n"/>
      <c r="I7" s="42" t="n"/>
      <c r="J7" s="42" t="n"/>
      <c r="K7" s="42" t="n"/>
      <c r="L7" s="42" t="n"/>
      <c r="M7" s="33" t="n"/>
    </row>
    <row r="8" ht="22" customHeight="1">
      <c r="A8" s="39" t="n">
        <v>46285</v>
      </c>
      <c r="B8" s="40" t="inlineStr">
        <is>
          <t>Q1</t>
        </is>
      </c>
      <c r="C8" s="41">
        <f>COUNTIFS('Call Schedule'!$A$2:$A$190,"&gt;="&amp;$A8,'Call Schedule'!$A$2:$A$190,"&lt;="&amp;$A8+6)</f>
        <v/>
      </c>
      <c r="D8" s="41">
        <f>COUNTIFS('Call Schedule'!$A$2:$A$190,"&gt;="&amp;$A8,'Call Schedule'!$A$2:$A$190,"&lt;="&amp;$A8+6,'Call Schedule'!$L$2:$L$190,"done")</f>
        <v/>
      </c>
      <c r="E8" s="41">
        <f>COUNTIFS(Roster!$P$2:$P$98,"&gt;="&amp;$A8,Roster!$P$2:$P$98,"&lt;="&amp;$A8+6)</f>
        <v/>
      </c>
      <c r="F8" s="42" t="n"/>
      <c r="G8" s="42" t="n"/>
      <c r="H8" s="42" t="n"/>
      <c r="I8" s="42" t="n"/>
      <c r="J8" s="42" t="n"/>
      <c r="K8" s="42" t="n"/>
      <c r="L8" s="42" t="n"/>
      <c r="M8" s="33" t="n"/>
    </row>
    <row r="9" ht="22" customHeight="1">
      <c r="A9" s="39" t="n">
        <v>46299</v>
      </c>
      <c r="B9" s="40" t="inlineStr">
        <is>
          <t>Q1</t>
        </is>
      </c>
      <c r="C9" s="41">
        <f>COUNTIFS('Call Schedule'!$A$2:$A$190,"&gt;="&amp;$A9,'Call Schedule'!$A$2:$A$190,"&lt;="&amp;$A9+6)</f>
        <v/>
      </c>
      <c r="D9" s="41">
        <f>COUNTIFS('Call Schedule'!$A$2:$A$190,"&gt;="&amp;$A9,'Call Schedule'!$A$2:$A$190,"&lt;="&amp;$A9+6,'Call Schedule'!$L$2:$L$190,"done")</f>
        <v/>
      </c>
      <c r="E9" s="41">
        <f>COUNTIFS(Roster!$P$2:$P$98,"&gt;="&amp;$A9,Roster!$P$2:$P$98,"&lt;="&amp;$A9+6)</f>
        <v/>
      </c>
      <c r="F9" s="42" t="n"/>
      <c r="G9" s="42" t="n"/>
      <c r="H9" s="42" t="n"/>
      <c r="I9" s="42" t="n"/>
      <c r="J9" s="42" t="n"/>
      <c r="K9" s="42" t="n"/>
      <c r="L9" s="42" t="n"/>
      <c r="M9" s="33" t="n"/>
    </row>
    <row r="10" ht="22" customHeight="1">
      <c r="A10" s="39" t="n">
        <v>46306</v>
      </c>
      <c r="B10" s="40" t="inlineStr">
        <is>
          <t>Q1</t>
        </is>
      </c>
      <c r="C10" s="41">
        <f>COUNTIFS('Call Schedule'!$A$2:$A$190,"&gt;="&amp;$A10,'Call Schedule'!$A$2:$A$190,"&lt;="&amp;$A10+6)</f>
        <v/>
      </c>
      <c r="D10" s="41">
        <f>COUNTIFS('Call Schedule'!$A$2:$A$190,"&gt;="&amp;$A10,'Call Schedule'!$A$2:$A$190,"&lt;="&amp;$A10+6,'Call Schedule'!$L$2:$L$190,"done")</f>
        <v/>
      </c>
      <c r="E10" s="41">
        <f>COUNTIFS(Roster!$P$2:$P$98,"&gt;="&amp;$A10,Roster!$P$2:$P$98,"&lt;="&amp;$A10+6)</f>
        <v/>
      </c>
      <c r="F10" s="42" t="n"/>
      <c r="G10" s="42" t="n"/>
      <c r="H10" s="42" t="n"/>
      <c r="I10" s="42" t="n"/>
      <c r="J10" s="42" t="n"/>
      <c r="K10" s="42" t="n"/>
      <c r="L10" s="42" t="n"/>
      <c r="M10" s="33" t="n"/>
    </row>
    <row r="11" ht="22" customHeight="1">
      <c r="A11" s="39" t="n">
        <v>46313</v>
      </c>
      <c r="B11" s="40" t="inlineStr">
        <is>
          <t>Q1</t>
        </is>
      </c>
      <c r="C11" s="41">
        <f>COUNTIFS('Call Schedule'!$A$2:$A$190,"&gt;="&amp;$A11,'Call Schedule'!$A$2:$A$190,"&lt;="&amp;$A11+6)</f>
        <v/>
      </c>
      <c r="D11" s="41">
        <f>COUNTIFS('Call Schedule'!$A$2:$A$190,"&gt;="&amp;$A11,'Call Schedule'!$A$2:$A$190,"&lt;="&amp;$A11+6,'Call Schedule'!$L$2:$L$190,"done")</f>
        <v/>
      </c>
      <c r="E11" s="41">
        <f>COUNTIFS(Roster!$P$2:$P$98,"&gt;="&amp;$A11,Roster!$P$2:$P$98,"&lt;="&amp;$A11+6)</f>
        <v/>
      </c>
      <c r="F11" s="42" t="n"/>
      <c r="G11" s="42" t="n"/>
      <c r="H11" s="42" t="n"/>
      <c r="I11" s="42" t="n"/>
      <c r="J11" s="42" t="n"/>
      <c r="K11" s="42" t="n"/>
      <c r="L11" s="42" t="n"/>
      <c r="M11" s="33" t="n"/>
    </row>
    <row r="12" ht="22" customHeight="1">
      <c r="A12" s="39" t="n">
        <v>46320</v>
      </c>
      <c r="B12" s="40" t="inlineStr">
        <is>
          <t>Q1</t>
        </is>
      </c>
      <c r="C12" s="41">
        <f>COUNTIFS('Call Schedule'!$A$2:$A$190,"&gt;="&amp;$A12,'Call Schedule'!$A$2:$A$190,"&lt;="&amp;$A12+6)</f>
        <v/>
      </c>
      <c r="D12" s="41">
        <f>COUNTIFS('Call Schedule'!$A$2:$A$190,"&gt;="&amp;$A12,'Call Schedule'!$A$2:$A$190,"&lt;="&amp;$A12+6,'Call Schedule'!$L$2:$L$190,"done")</f>
        <v/>
      </c>
      <c r="E12" s="41">
        <f>COUNTIFS(Roster!$P$2:$P$98,"&gt;="&amp;$A12,Roster!$P$2:$P$98,"&lt;="&amp;$A12+6)</f>
        <v/>
      </c>
      <c r="F12" s="42" t="n"/>
      <c r="G12" s="42" t="n"/>
      <c r="H12" s="42" t="n"/>
      <c r="I12" s="42" t="n"/>
      <c r="J12" s="42" t="n"/>
      <c r="K12" s="42" t="n"/>
      <c r="L12" s="42" t="n"/>
      <c r="M12" s="33" t="n"/>
    </row>
    <row r="13" ht="22" customHeight="1">
      <c r="A13" s="39" t="n">
        <v>46327</v>
      </c>
      <c r="B13" s="40" t="inlineStr">
        <is>
          <t>Q1</t>
        </is>
      </c>
      <c r="C13" s="41">
        <f>COUNTIFS('Call Schedule'!$A$2:$A$190,"&gt;="&amp;$A13,'Call Schedule'!$A$2:$A$190,"&lt;="&amp;$A13+6)</f>
        <v/>
      </c>
      <c r="D13" s="41">
        <f>COUNTIFS('Call Schedule'!$A$2:$A$190,"&gt;="&amp;$A13,'Call Schedule'!$A$2:$A$190,"&lt;="&amp;$A13+6,'Call Schedule'!$L$2:$L$190,"done")</f>
        <v/>
      </c>
      <c r="E13" s="41">
        <f>COUNTIFS(Roster!$P$2:$P$98,"&gt;="&amp;$A13,Roster!$P$2:$P$98,"&lt;="&amp;$A13+6)</f>
        <v/>
      </c>
      <c r="F13" s="42" t="n"/>
      <c r="G13" s="42" t="n"/>
      <c r="H13" s="42" t="n"/>
      <c r="I13" s="42" t="n"/>
      <c r="J13" s="42" t="n"/>
      <c r="K13" s="42" t="n"/>
      <c r="L13" s="42" t="n"/>
      <c r="M13" s="33" t="n"/>
    </row>
    <row r="14" ht="22" customHeight="1">
      <c r="A14" s="39" t="n">
        <v>46334</v>
      </c>
      <c r="B14" s="40" t="inlineStr">
        <is>
          <t>Q1</t>
        </is>
      </c>
      <c r="C14" s="41">
        <f>COUNTIFS('Call Schedule'!$A$2:$A$190,"&gt;="&amp;$A14,'Call Schedule'!$A$2:$A$190,"&lt;="&amp;$A14+6)</f>
        <v/>
      </c>
      <c r="D14" s="41">
        <f>COUNTIFS('Call Schedule'!$A$2:$A$190,"&gt;="&amp;$A14,'Call Schedule'!$A$2:$A$190,"&lt;="&amp;$A14+6,'Call Schedule'!$L$2:$L$190,"done")</f>
        <v/>
      </c>
      <c r="E14" s="41">
        <f>COUNTIFS(Roster!$P$2:$P$98,"&gt;="&amp;$A14,Roster!$P$2:$P$98,"&lt;="&amp;$A14+6)</f>
        <v/>
      </c>
      <c r="F14" s="42" t="n"/>
      <c r="G14" s="42" t="n"/>
      <c r="H14" s="42" t="n"/>
      <c r="I14" s="42" t="n"/>
      <c r="J14" s="42" t="n"/>
      <c r="K14" s="42" t="n"/>
      <c r="L14" s="42" t="n"/>
      <c r="M14" s="33" t="n"/>
    </row>
    <row r="15" ht="22" customHeight="1">
      <c r="A15" s="39" t="n">
        <v>46341</v>
      </c>
      <c r="B15" s="40" t="inlineStr">
        <is>
          <t>Q1</t>
        </is>
      </c>
      <c r="C15" s="41">
        <f>COUNTIFS('Call Schedule'!$A$2:$A$190,"&gt;="&amp;$A15,'Call Schedule'!$A$2:$A$190,"&lt;="&amp;$A15+6)</f>
        <v/>
      </c>
      <c r="D15" s="41">
        <f>COUNTIFS('Call Schedule'!$A$2:$A$190,"&gt;="&amp;$A15,'Call Schedule'!$A$2:$A$190,"&lt;="&amp;$A15+6,'Call Schedule'!$L$2:$L$190,"done")</f>
        <v/>
      </c>
      <c r="E15" s="41">
        <f>COUNTIFS(Roster!$P$2:$P$98,"&gt;="&amp;$A15,Roster!$P$2:$P$98,"&lt;="&amp;$A15+6)</f>
        <v/>
      </c>
      <c r="F15" s="42" t="n"/>
      <c r="G15" s="42" t="n"/>
      <c r="H15" s="42" t="n"/>
      <c r="I15" s="42" t="n"/>
      <c r="J15" s="42" t="n"/>
      <c r="K15" s="42" t="n"/>
      <c r="L15" s="42" t="n"/>
      <c r="M15" s="33" t="n"/>
    </row>
    <row r="16" ht="22" customHeight="1">
      <c r="A16" s="39" t="n">
        <v>46348</v>
      </c>
      <c r="B16" s="40" t="inlineStr">
        <is>
          <t>Q1</t>
        </is>
      </c>
      <c r="C16" s="41">
        <f>COUNTIFS('Call Schedule'!$A$2:$A$190,"&gt;="&amp;$A16,'Call Schedule'!$A$2:$A$190,"&lt;="&amp;$A16+6)</f>
        <v/>
      </c>
      <c r="D16" s="41">
        <f>COUNTIFS('Call Schedule'!$A$2:$A$190,"&gt;="&amp;$A16,'Call Schedule'!$A$2:$A$190,"&lt;="&amp;$A16+6,'Call Schedule'!$L$2:$L$190,"done")</f>
        <v/>
      </c>
      <c r="E16" s="41">
        <f>COUNTIFS(Roster!$P$2:$P$98,"&gt;="&amp;$A16,Roster!$P$2:$P$98,"&lt;="&amp;$A16+6)</f>
        <v/>
      </c>
      <c r="F16" s="42" t="n"/>
      <c r="G16" s="42" t="n"/>
      <c r="H16" s="42" t="n"/>
      <c r="I16" s="42" t="n"/>
      <c r="J16" s="42" t="n"/>
      <c r="K16" s="42" t="n"/>
      <c r="L16" s="42" t="n"/>
      <c r="M16" s="33" t="n"/>
    </row>
    <row r="17" ht="22" customHeight="1">
      <c r="A17" s="39" t="n">
        <v>46355</v>
      </c>
      <c r="B17" s="40" t="inlineStr">
        <is>
          <t>Q1</t>
        </is>
      </c>
      <c r="C17" s="41">
        <f>COUNTIFS('Call Schedule'!$A$2:$A$190,"&gt;="&amp;$A17,'Call Schedule'!$A$2:$A$190,"&lt;="&amp;$A17+6)</f>
        <v/>
      </c>
      <c r="D17" s="41">
        <f>COUNTIFS('Call Schedule'!$A$2:$A$190,"&gt;="&amp;$A17,'Call Schedule'!$A$2:$A$190,"&lt;="&amp;$A17+6,'Call Schedule'!$L$2:$L$190,"done")</f>
        <v/>
      </c>
      <c r="E17" s="41">
        <f>COUNTIFS(Roster!$P$2:$P$98,"&gt;="&amp;$A17,Roster!$P$2:$P$98,"&lt;="&amp;$A17+6)</f>
        <v/>
      </c>
      <c r="F17" s="42" t="n"/>
      <c r="G17" s="42" t="n"/>
      <c r="H17" s="42" t="n"/>
      <c r="I17" s="42" t="n"/>
      <c r="J17" s="42" t="n"/>
      <c r="K17" s="42" t="n"/>
      <c r="L17" s="42" t="n"/>
      <c r="M17" s="33" t="n"/>
    </row>
    <row r="18" ht="22" customHeight="1">
      <c r="A18" s="39" t="n">
        <v>46362</v>
      </c>
      <c r="B18" s="40" t="inlineStr">
        <is>
          <t>Q2</t>
        </is>
      </c>
      <c r="C18" s="41">
        <f>COUNTIFS('Call Schedule'!$A$2:$A$190,"&gt;="&amp;$A18,'Call Schedule'!$A$2:$A$190,"&lt;="&amp;$A18+6)</f>
        <v/>
      </c>
      <c r="D18" s="41">
        <f>COUNTIFS('Call Schedule'!$A$2:$A$190,"&gt;="&amp;$A18,'Call Schedule'!$A$2:$A$190,"&lt;="&amp;$A18+6,'Call Schedule'!$L$2:$L$190,"done")</f>
        <v/>
      </c>
      <c r="E18" s="41">
        <f>COUNTIFS(Roster!$P$2:$P$98,"&gt;="&amp;$A18,Roster!$P$2:$P$98,"&lt;="&amp;$A18+6)</f>
        <v/>
      </c>
      <c r="F18" s="42" t="n"/>
      <c r="G18" s="42" t="n"/>
      <c r="H18" s="42" t="n"/>
      <c r="I18" s="42" t="n"/>
      <c r="J18" s="42" t="n"/>
      <c r="K18" s="42" t="n"/>
      <c r="L18" s="42" t="n"/>
      <c r="M18" s="33" t="n"/>
    </row>
    <row r="19" ht="22" customHeight="1">
      <c r="A19" s="39" t="n">
        <v>46369</v>
      </c>
      <c r="B19" s="40" t="inlineStr">
        <is>
          <t>Q2</t>
        </is>
      </c>
      <c r="C19" s="41">
        <f>COUNTIFS('Call Schedule'!$A$2:$A$190,"&gt;="&amp;$A19,'Call Schedule'!$A$2:$A$190,"&lt;="&amp;$A19+6)</f>
        <v/>
      </c>
      <c r="D19" s="41">
        <f>COUNTIFS('Call Schedule'!$A$2:$A$190,"&gt;="&amp;$A19,'Call Schedule'!$A$2:$A$190,"&lt;="&amp;$A19+6,'Call Schedule'!$L$2:$L$190,"done")</f>
        <v/>
      </c>
      <c r="E19" s="41">
        <f>COUNTIFS(Roster!$P$2:$P$98,"&gt;="&amp;$A19,Roster!$P$2:$P$98,"&lt;="&amp;$A19+6)</f>
        <v/>
      </c>
      <c r="F19" s="42" t="n"/>
      <c r="G19" s="42" t="n"/>
      <c r="H19" s="42" t="n"/>
      <c r="I19" s="42" t="n"/>
      <c r="J19" s="42" t="n"/>
      <c r="K19" s="42" t="n"/>
      <c r="L19" s="42" t="n"/>
      <c r="M19" s="33" t="n"/>
    </row>
    <row r="20" ht="22" customHeight="1">
      <c r="A20" s="39" t="n">
        <v>46376</v>
      </c>
      <c r="B20" s="40" t="inlineStr">
        <is>
          <t>Q2</t>
        </is>
      </c>
      <c r="C20" s="41">
        <f>COUNTIFS('Call Schedule'!$A$2:$A$190,"&gt;="&amp;$A20,'Call Schedule'!$A$2:$A$190,"&lt;="&amp;$A20+6)</f>
        <v/>
      </c>
      <c r="D20" s="41">
        <f>COUNTIFS('Call Schedule'!$A$2:$A$190,"&gt;="&amp;$A20,'Call Schedule'!$A$2:$A$190,"&lt;="&amp;$A20+6,'Call Schedule'!$L$2:$L$190,"done")</f>
        <v/>
      </c>
      <c r="E20" s="41">
        <f>COUNTIFS(Roster!$P$2:$P$98,"&gt;="&amp;$A20,Roster!$P$2:$P$98,"&lt;="&amp;$A20+6)</f>
        <v/>
      </c>
      <c r="F20" s="42" t="n"/>
      <c r="G20" s="42" t="n"/>
      <c r="H20" s="42" t="n"/>
      <c r="I20" s="42" t="n"/>
      <c r="J20" s="42" t="n"/>
      <c r="K20" s="42" t="n"/>
      <c r="L20" s="42" t="n"/>
      <c r="M20" s="33" t="n"/>
    </row>
    <row r="21" ht="22" customHeight="1">
      <c r="A21" s="39" t="n">
        <v>46383</v>
      </c>
      <c r="B21" s="40" t="inlineStr">
        <is>
          <t>Q2</t>
        </is>
      </c>
      <c r="C21" s="41">
        <f>COUNTIFS('Call Schedule'!$A$2:$A$190,"&gt;="&amp;$A21,'Call Schedule'!$A$2:$A$190,"&lt;="&amp;$A21+6)</f>
        <v/>
      </c>
      <c r="D21" s="41">
        <f>COUNTIFS('Call Schedule'!$A$2:$A$190,"&gt;="&amp;$A21,'Call Schedule'!$A$2:$A$190,"&lt;="&amp;$A21+6,'Call Schedule'!$L$2:$L$190,"done")</f>
        <v/>
      </c>
      <c r="E21" s="41">
        <f>COUNTIFS(Roster!$P$2:$P$98,"&gt;="&amp;$A21,Roster!$P$2:$P$98,"&lt;="&amp;$A21+6)</f>
        <v/>
      </c>
      <c r="F21" s="42" t="n"/>
      <c r="G21" s="42" t="n"/>
      <c r="H21" s="42" t="n"/>
      <c r="I21" s="42" t="n"/>
      <c r="J21" s="42" t="n"/>
      <c r="K21" s="42" t="n"/>
      <c r="L21" s="42" t="n"/>
      <c r="M21" s="33" t="n"/>
    </row>
    <row r="22" ht="22" customHeight="1">
      <c r="A22" s="39" t="n">
        <v>46390</v>
      </c>
      <c r="B22" s="40" t="inlineStr">
        <is>
          <t>Q2</t>
        </is>
      </c>
      <c r="C22" s="41">
        <f>COUNTIFS('Call Schedule'!$A$2:$A$190,"&gt;="&amp;$A22,'Call Schedule'!$A$2:$A$190,"&lt;="&amp;$A22+6)</f>
        <v/>
      </c>
      <c r="D22" s="41">
        <f>COUNTIFS('Call Schedule'!$A$2:$A$190,"&gt;="&amp;$A22,'Call Schedule'!$A$2:$A$190,"&lt;="&amp;$A22+6,'Call Schedule'!$L$2:$L$190,"done")</f>
        <v/>
      </c>
      <c r="E22" s="41">
        <f>COUNTIFS(Roster!$P$2:$P$98,"&gt;="&amp;$A22,Roster!$P$2:$P$98,"&lt;="&amp;$A22+6)</f>
        <v/>
      </c>
      <c r="F22" s="42" t="n"/>
      <c r="G22" s="42" t="n"/>
      <c r="H22" s="42" t="n"/>
      <c r="I22" s="42" t="n"/>
      <c r="J22" s="42" t="n"/>
      <c r="K22" s="42" t="n"/>
      <c r="L22" s="42" t="n"/>
      <c r="M22" s="33" t="n"/>
    </row>
    <row r="23" ht="22" customHeight="1">
      <c r="A23" s="39" t="n">
        <v>46397</v>
      </c>
      <c r="B23" s="40" t="inlineStr">
        <is>
          <t>Q2</t>
        </is>
      </c>
      <c r="C23" s="41">
        <f>COUNTIFS('Call Schedule'!$A$2:$A$190,"&gt;="&amp;$A23,'Call Schedule'!$A$2:$A$190,"&lt;="&amp;$A23+6)</f>
        <v/>
      </c>
      <c r="D23" s="41">
        <f>COUNTIFS('Call Schedule'!$A$2:$A$190,"&gt;="&amp;$A23,'Call Schedule'!$A$2:$A$190,"&lt;="&amp;$A23+6,'Call Schedule'!$L$2:$L$190,"done")</f>
        <v/>
      </c>
      <c r="E23" s="41">
        <f>COUNTIFS(Roster!$P$2:$P$98,"&gt;="&amp;$A23,Roster!$P$2:$P$98,"&lt;="&amp;$A23+6)</f>
        <v/>
      </c>
      <c r="F23" s="42" t="n"/>
      <c r="G23" s="42" t="n"/>
      <c r="H23" s="42" t="n"/>
      <c r="I23" s="42" t="n"/>
      <c r="J23" s="42" t="n"/>
      <c r="K23" s="42" t="n"/>
      <c r="L23" s="42" t="n"/>
      <c r="M23" s="33" t="n"/>
    </row>
    <row r="24" ht="22" customHeight="1">
      <c r="A24" s="39" t="n">
        <v>46404</v>
      </c>
      <c r="B24" s="40" t="inlineStr">
        <is>
          <t>Q2</t>
        </is>
      </c>
      <c r="C24" s="41">
        <f>COUNTIFS('Call Schedule'!$A$2:$A$190,"&gt;="&amp;$A24,'Call Schedule'!$A$2:$A$190,"&lt;="&amp;$A24+6)</f>
        <v/>
      </c>
      <c r="D24" s="41">
        <f>COUNTIFS('Call Schedule'!$A$2:$A$190,"&gt;="&amp;$A24,'Call Schedule'!$A$2:$A$190,"&lt;="&amp;$A24+6,'Call Schedule'!$L$2:$L$190,"done")</f>
        <v/>
      </c>
      <c r="E24" s="41">
        <f>COUNTIFS(Roster!$P$2:$P$98,"&gt;="&amp;$A24,Roster!$P$2:$P$98,"&lt;="&amp;$A24+6)</f>
        <v/>
      </c>
      <c r="F24" s="42" t="n"/>
      <c r="G24" s="42" t="n"/>
      <c r="H24" s="42" t="n"/>
      <c r="I24" s="42" t="n"/>
      <c r="J24" s="42" t="n"/>
      <c r="K24" s="42" t="n"/>
      <c r="L24" s="42" t="n"/>
      <c r="M24" s="33" t="n"/>
    </row>
    <row r="25" ht="22" customHeight="1">
      <c r="A25" s="39" t="n">
        <v>46411</v>
      </c>
      <c r="B25" s="40" t="inlineStr">
        <is>
          <t>Q2</t>
        </is>
      </c>
      <c r="C25" s="41">
        <f>COUNTIFS('Call Schedule'!$A$2:$A$190,"&gt;="&amp;$A25,'Call Schedule'!$A$2:$A$190,"&lt;="&amp;$A25+6)</f>
        <v/>
      </c>
      <c r="D25" s="41">
        <f>COUNTIFS('Call Schedule'!$A$2:$A$190,"&gt;="&amp;$A25,'Call Schedule'!$A$2:$A$190,"&lt;="&amp;$A25+6,'Call Schedule'!$L$2:$L$190,"done")</f>
        <v/>
      </c>
      <c r="E25" s="41">
        <f>COUNTIFS(Roster!$P$2:$P$98,"&gt;="&amp;$A25,Roster!$P$2:$P$98,"&lt;="&amp;$A25+6)</f>
        <v/>
      </c>
      <c r="F25" s="42" t="n"/>
      <c r="G25" s="42" t="n"/>
      <c r="H25" s="42" t="n"/>
      <c r="I25" s="42" t="n"/>
      <c r="J25" s="42" t="n"/>
      <c r="K25" s="42" t="n"/>
      <c r="L25" s="42" t="n"/>
      <c r="M25" s="33" t="n"/>
    </row>
    <row r="26" ht="22" customHeight="1">
      <c r="A26" s="39" t="n">
        <v>46418</v>
      </c>
      <c r="B26" s="40" t="inlineStr">
        <is>
          <t>Q2</t>
        </is>
      </c>
      <c r="C26" s="41">
        <f>COUNTIFS('Call Schedule'!$A$2:$A$190,"&gt;="&amp;$A26,'Call Schedule'!$A$2:$A$190,"&lt;="&amp;$A26+6)</f>
        <v/>
      </c>
      <c r="D26" s="41">
        <f>COUNTIFS('Call Schedule'!$A$2:$A$190,"&gt;="&amp;$A26,'Call Schedule'!$A$2:$A$190,"&lt;="&amp;$A26+6,'Call Schedule'!$L$2:$L$190,"done")</f>
        <v/>
      </c>
      <c r="E26" s="41">
        <f>COUNTIFS(Roster!$P$2:$P$98,"&gt;="&amp;$A26,Roster!$P$2:$P$98,"&lt;="&amp;$A26+6)</f>
        <v/>
      </c>
      <c r="F26" s="42" t="n"/>
      <c r="G26" s="42" t="n"/>
      <c r="H26" s="42" t="n"/>
      <c r="I26" s="42" t="n"/>
      <c r="J26" s="42" t="n"/>
      <c r="K26" s="42" t="n"/>
      <c r="L26" s="42" t="n"/>
      <c r="M26" s="33" t="n"/>
    </row>
    <row r="27" ht="22" customHeight="1">
      <c r="A27" s="39" t="n">
        <v>46425</v>
      </c>
      <c r="B27" s="40" t="inlineStr">
        <is>
          <t>Q2</t>
        </is>
      </c>
      <c r="C27" s="41">
        <f>COUNTIFS('Call Schedule'!$A$2:$A$190,"&gt;="&amp;$A27,'Call Schedule'!$A$2:$A$190,"&lt;="&amp;$A27+6)</f>
        <v/>
      </c>
      <c r="D27" s="41">
        <f>COUNTIFS('Call Schedule'!$A$2:$A$190,"&gt;="&amp;$A27,'Call Schedule'!$A$2:$A$190,"&lt;="&amp;$A27+6,'Call Schedule'!$L$2:$L$190,"done")</f>
        <v/>
      </c>
      <c r="E27" s="41">
        <f>COUNTIFS(Roster!$P$2:$P$98,"&gt;="&amp;$A27,Roster!$P$2:$P$98,"&lt;="&amp;$A27+6)</f>
        <v/>
      </c>
      <c r="F27" s="42" t="n"/>
      <c r="G27" s="42" t="n"/>
      <c r="H27" s="42" t="n"/>
      <c r="I27" s="42" t="n"/>
      <c r="J27" s="42" t="n"/>
      <c r="K27" s="42" t="n"/>
      <c r="L27" s="42" t="n"/>
      <c r="M27" s="33" t="n"/>
    </row>
    <row r="28" ht="22" customHeight="1">
      <c r="A28" s="39" t="n">
        <v>46432</v>
      </c>
      <c r="B28" s="40" t="inlineStr">
        <is>
          <t>Q2</t>
        </is>
      </c>
      <c r="C28" s="41">
        <f>COUNTIFS('Call Schedule'!$A$2:$A$190,"&gt;="&amp;$A28,'Call Schedule'!$A$2:$A$190,"&lt;="&amp;$A28+6)</f>
        <v/>
      </c>
      <c r="D28" s="41">
        <f>COUNTIFS('Call Schedule'!$A$2:$A$190,"&gt;="&amp;$A28,'Call Schedule'!$A$2:$A$190,"&lt;="&amp;$A28+6,'Call Schedule'!$L$2:$L$190,"done")</f>
        <v/>
      </c>
      <c r="E28" s="41">
        <f>COUNTIFS(Roster!$P$2:$P$98,"&gt;="&amp;$A28,Roster!$P$2:$P$98,"&lt;="&amp;$A28+6)</f>
        <v/>
      </c>
      <c r="F28" s="42" t="n"/>
      <c r="G28" s="42" t="n"/>
      <c r="H28" s="42" t="n"/>
      <c r="I28" s="42" t="n"/>
      <c r="J28" s="42" t="n"/>
      <c r="K28" s="42" t="n"/>
      <c r="L28" s="42" t="n"/>
      <c r="M28" s="33" t="n"/>
    </row>
    <row r="29" ht="22" customHeight="1">
      <c r="A29" s="39" t="n">
        <v>46439</v>
      </c>
      <c r="B29" s="40" t="inlineStr">
        <is>
          <t>Q2</t>
        </is>
      </c>
      <c r="C29" s="41">
        <f>COUNTIFS('Call Schedule'!$A$2:$A$190,"&gt;="&amp;$A29,'Call Schedule'!$A$2:$A$190,"&lt;="&amp;$A29+6)</f>
        <v/>
      </c>
      <c r="D29" s="41">
        <f>COUNTIFS('Call Schedule'!$A$2:$A$190,"&gt;="&amp;$A29,'Call Schedule'!$A$2:$A$190,"&lt;="&amp;$A29+6,'Call Schedule'!$L$2:$L$190,"done")</f>
        <v/>
      </c>
      <c r="E29" s="41">
        <f>COUNTIFS(Roster!$P$2:$P$98,"&gt;="&amp;$A29,Roster!$P$2:$P$98,"&lt;="&amp;$A29+6)</f>
        <v/>
      </c>
      <c r="F29" s="42" t="n"/>
      <c r="G29" s="42" t="n"/>
      <c r="H29" s="42" t="n"/>
      <c r="I29" s="42" t="n"/>
      <c r="J29" s="42" t="n"/>
      <c r="K29" s="42" t="n"/>
      <c r="L29" s="42" t="n"/>
      <c r="M29" s="33" t="n"/>
    </row>
    <row r="30" ht="22" customHeight="1">
      <c r="A30" s="39" t="n">
        <v>46446</v>
      </c>
      <c r="B30" s="40" t="inlineStr">
        <is>
          <t>Q2</t>
        </is>
      </c>
      <c r="C30" s="41">
        <f>COUNTIFS('Call Schedule'!$A$2:$A$190,"&gt;="&amp;$A30,'Call Schedule'!$A$2:$A$190,"&lt;="&amp;$A30+6)</f>
        <v/>
      </c>
      <c r="D30" s="41">
        <f>COUNTIFS('Call Schedule'!$A$2:$A$190,"&gt;="&amp;$A30,'Call Schedule'!$A$2:$A$190,"&lt;="&amp;$A30+6,'Call Schedule'!$L$2:$L$190,"done")</f>
        <v/>
      </c>
      <c r="E30" s="41">
        <f>COUNTIFS(Roster!$P$2:$P$98,"&gt;="&amp;$A30,Roster!$P$2:$P$98,"&lt;="&amp;$A30+6)</f>
        <v/>
      </c>
      <c r="F30" s="42" t="n"/>
      <c r="G30" s="42" t="n"/>
      <c r="H30" s="42" t="n"/>
      <c r="I30" s="42" t="n"/>
      <c r="J30" s="42" t="n"/>
      <c r="K30" s="42" t="n"/>
      <c r="L30" s="42" t="n"/>
      <c r="M30" s="33" t="n"/>
    </row>
    <row r="31" ht="22" customHeight="1">
      <c r="A31" s="39" t="n">
        <v>46453</v>
      </c>
      <c r="B31" s="40" t="inlineStr">
        <is>
          <t>Q3</t>
        </is>
      </c>
      <c r="C31" s="41">
        <f>COUNTIFS('Call Schedule'!$A$2:$A$190,"&gt;="&amp;$A31,'Call Schedule'!$A$2:$A$190,"&lt;="&amp;$A31+6)</f>
        <v/>
      </c>
      <c r="D31" s="41">
        <f>COUNTIFS('Call Schedule'!$A$2:$A$190,"&gt;="&amp;$A31,'Call Schedule'!$A$2:$A$190,"&lt;="&amp;$A31+6,'Call Schedule'!$L$2:$L$190,"done")</f>
        <v/>
      </c>
      <c r="E31" s="41">
        <f>COUNTIFS(Roster!$P$2:$P$98,"&gt;="&amp;$A31,Roster!$P$2:$P$98,"&lt;="&amp;$A31+6)</f>
        <v/>
      </c>
      <c r="F31" s="42" t="n"/>
      <c r="G31" s="42" t="n"/>
      <c r="H31" s="42" t="n"/>
      <c r="I31" s="42" t="n"/>
      <c r="J31" s="42" t="n"/>
      <c r="K31" s="42" t="n"/>
      <c r="L31" s="42" t="n"/>
      <c r="M31" s="33" t="n"/>
    </row>
    <row r="32" ht="22" customHeight="1">
      <c r="A32" s="39" t="n">
        <v>46460</v>
      </c>
      <c r="B32" s="40" t="inlineStr">
        <is>
          <t>Q3</t>
        </is>
      </c>
      <c r="C32" s="41">
        <f>COUNTIFS('Call Schedule'!$A$2:$A$190,"&gt;="&amp;$A32,'Call Schedule'!$A$2:$A$190,"&lt;="&amp;$A32+6)</f>
        <v/>
      </c>
      <c r="D32" s="41">
        <f>COUNTIFS('Call Schedule'!$A$2:$A$190,"&gt;="&amp;$A32,'Call Schedule'!$A$2:$A$190,"&lt;="&amp;$A32+6,'Call Schedule'!$L$2:$L$190,"done")</f>
        <v/>
      </c>
      <c r="E32" s="41">
        <f>COUNTIFS(Roster!$P$2:$P$98,"&gt;="&amp;$A32,Roster!$P$2:$P$98,"&lt;="&amp;$A32+6)</f>
        <v/>
      </c>
      <c r="F32" s="42" t="n"/>
      <c r="G32" s="42" t="n"/>
      <c r="H32" s="42" t="n"/>
      <c r="I32" s="42" t="n"/>
      <c r="J32" s="42" t="n"/>
      <c r="K32" s="42" t="n"/>
      <c r="L32" s="42" t="n"/>
      <c r="M32" s="33" t="n"/>
    </row>
    <row r="33" ht="22" customHeight="1">
      <c r="A33" s="39" t="n">
        <v>46467</v>
      </c>
      <c r="B33" s="40" t="inlineStr">
        <is>
          <t>Q3</t>
        </is>
      </c>
      <c r="C33" s="41">
        <f>COUNTIFS('Call Schedule'!$A$2:$A$190,"&gt;="&amp;$A33,'Call Schedule'!$A$2:$A$190,"&lt;="&amp;$A33+6)</f>
        <v/>
      </c>
      <c r="D33" s="41">
        <f>COUNTIFS('Call Schedule'!$A$2:$A$190,"&gt;="&amp;$A33,'Call Schedule'!$A$2:$A$190,"&lt;="&amp;$A33+6,'Call Schedule'!$L$2:$L$190,"done")</f>
        <v/>
      </c>
      <c r="E33" s="41">
        <f>COUNTIFS(Roster!$P$2:$P$98,"&gt;="&amp;$A33,Roster!$P$2:$P$98,"&lt;="&amp;$A33+6)</f>
        <v/>
      </c>
      <c r="F33" s="42" t="n"/>
      <c r="G33" s="42" t="n"/>
      <c r="H33" s="42" t="n"/>
      <c r="I33" s="42" t="n"/>
      <c r="J33" s="42" t="n"/>
      <c r="K33" s="42" t="n"/>
      <c r="L33" s="42" t="n"/>
      <c r="M33" s="33" t="n"/>
    </row>
    <row r="34" ht="22" customHeight="1">
      <c r="A34" s="39" t="n">
        <v>46474</v>
      </c>
      <c r="B34" s="40" t="inlineStr">
        <is>
          <t>Q3</t>
        </is>
      </c>
      <c r="C34" s="41">
        <f>COUNTIFS('Call Schedule'!$A$2:$A$190,"&gt;="&amp;$A34,'Call Schedule'!$A$2:$A$190,"&lt;="&amp;$A34+6)</f>
        <v/>
      </c>
      <c r="D34" s="41">
        <f>COUNTIFS('Call Schedule'!$A$2:$A$190,"&gt;="&amp;$A34,'Call Schedule'!$A$2:$A$190,"&lt;="&amp;$A34+6,'Call Schedule'!$L$2:$L$190,"done")</f>
        <v/>
      </c>
      <c r="E34" s="41">
        <f>COUNTIFS(Roster!$P$2:$P$98,"&gt;="&amp;$A34,Roster!$P$2:$P$98,"&lt;="&amp;$A34+6)</f>
        <v/>
      </c>
      <c r="F34" s="42" t="n"/>
      <c r="G34" s="42" t="n"/>
      <c r="H34" s="42" t="n"/>
      <c r="I34" s="42" t="n"/>
      <c r="J34" s="42" t="n"/>
      <c r="K34" s="42" t="n"/>
      <c r="L34" s="42" t="n"/>
      <c r="M34" s="33" t="n"/>
    </row>
    <row r="35" ht="22" customHeight="1">
      <c r="A35" s="39" t="n">
        <v>46481</v>
      </c>
      <c r="B35" s="40" t="inlineStr">
        <is>
          <t>Q3</t>
        </is>
      </c>
      <c r="C35" s="41">
        <f>COUNTIFS('Call Schedule'!$A$2:$A$190,"&gt;="&amp;$A35,'Call Schedule'!$A$2:$A$190,"&lt;="&amp;$A35+6)</f>
        <v/>
      </c>
      <c r="D35" s="41">
        <f>COUNTIFS('Call Schedule'!$A$2:$A$190,"&gt;="&amp;$A35,'Call Schedule'!$A$2:$A$190,"&lt;="&amp;$A35+6,'Call Schedule'!$L$2:$L$190,"done")</f>
        <v/>
      </c>
      <c r="E35" s="41">
        <f>COUNTIFS(Roster!$P$2:$P$98,"&gt;="&amp;$A35,Roster!$P$2:$P$98,"&lt;="&amp;$A35+6)</f>
        <v/>
      </c>
      <c r="F35" s="42" t="n"/>
      <c r="G35" s="42" t="n"/>
      <c r="H35" s="42" t="n"/>
      <c r="I35" s="42" t="n"/>
      <c r="J35" s="42" t="n"/>
      <c r="K35" s="42" t="n"/>
      <c r="L35" s="42" t="n"/>
      <c r="M35" s="33" t="n"/>
    </row>
    <row r="36" ht="22" customHeight="1">
      <c r="A36" s="39" t="n">
        <v>46488</v>
      </c>
      <c r="B36" s="40" t="inlineStr">
        <is>
          <t>Q3</t>
        </is>
      </c>
      <c r="C36" s="41">
        <f>COUNTIFS('Call Schedule'!$A$2:$A$190,"&gt;="&amp;$A36,'Call Schedule'!$A$2:$A$190,"&lt;="&amp;$A36+6)</f>
        <v/>
      </c>
      <c r="D36" s="41">
        <f>COUNTIFS('Call Schedule'!$A$2:$A$190,"&gt;="&amp;$A36,'Call Schedule'!$A$2:$A$190,"&lt;="&amp;$A36+6,'Call Schedule'!$L$2:$L$190,"done")</f>
        <v/>
      </c>
      <c r="E36" s="41">
        <f>COUNTIFS(Roster!$P$2:$P$98,"&gt;="&amp;$A36,Roster!$P$2:$P$98,"&lt;="&amp;$A36+6)</f>
        <v/>
      </c>
      <c r="F36" s="42" t="n"/>
      <c r="G36" s="42" t="n"/>
      <c r="H36" s="42" t="n"/>
      <c r="I36" s="42" t="n"/>
      <c r="J36" s="42" t="n"/>
      <c r="K36" s="42" t="n"/>
      <c r="L36" s="42" t="n"/>
      <c r="M36" s="33" t="n"/>
    </row>
    <row r="37" ht="22" customHeight="1">
      <c r="A37" s="39" t="n">
        <v>46495</v>
      </c>
      <c r="B37" s="40" t="inlineStr">
        <is>
          <t>Q3</t>
        </is>
      </c>
      <c r="C37" s="41">
        <f>COUNTIFS('Call Schedule'!$A$2:$A$190,"&gt;="&amp;$A37,'Call Schedule'!$A$2:$A$190,"&lt;="&amp;$A37+6)</f>
        <v/>
      </c>
      <c r="D37" s="41">
        <f>COUNTIFS('Call Schedule'!$A$2:$A$190,"&gt;="&amp;$A37,'Call Schedule'!$A$2:$A$190,"&lt;="&amp;$A37+6,'Call Schedule'!$L$2:$L$190,"done")</f>
        <v/>
      </c>
      <c r="E37" s="41">
        <f>COUNTIFS(Roster!$P$2:$P$98,"&gt;="&amp;$A37,Roster!$P$2:$P$98,"&lt;="&amp;$A37+6)</f>
        <v/>
      </c>
      <c r="F37" s="42" t="n"/>
      <c r="G37" s="42" t="n"/>
      <c r="H37" s="42" t="n"/>
      <c r="I37" s="42" t="n"/>
      <c r="J37" s="42" t="n"/>
      <c r="K37" s="42" t="n"/>
      <c r="L37" s="42" t="n"/>
      <c r="M37" s="33" t="n"/>
    </row>
    <row r="38" ht="22" customHeight="1">
      <c r="A38" s="39" t="n">
        <v>46502</v>
      </c>
      <c r="B38" s="40" t="inlineStr">
        <is>
          <t>Q3</t>
        </is>
      </c>
      <c r="C38" s="41">
        <f>COUNTIFS('Call Schedule'!$A$2:$A$190,"&gt;="&amp;$A38,'Call Schedule'!$A$2:$A$190,"&lt;="&amp;$A38+6)</f>
        <v/>
      </c>
      <c r="D38" s="41">
        <f>COUNTIFS('Call Schedule'!$A$2:$A$190,"&gt;="&amp;$A38,'Call Schedule'!$A$2:$A$190,"&lt;="&amp;$A38+6,'Call Schedule'!$L$2:$L$190,"done")</f>
        <v/>
      </c>
      <c r="E38" s="41">
        <f>COUNTIFS(Roster!$P$2:$P$98,"&gt;="&amp;$A38,Roster!$P$2:$P$98,"&lt;="&amp;$A38+6)</f>
        <v/>
      </c>
      <c r="F38" s="42" t="n"/>
      <c r="G38" s="42" t="n"/>
      <c r="H38" s="42" t="n"/>
      <c r="I38" s="42" t="n"/>
      <c r="J38" s="42" t="n"/>
      <c r="K38" s="42" t="n"/>
      <c r="L38" s="42" t="n"/>
      <c r="M38" s="33" t="n"/>
    </row>
    <row r="39" ht="22" customHeight="1">
      <c r="A39" s="39" t="n">
        <v>46509</v>
      </c>
      <c r="B39" s="40" t="inlineStr">
        <is>
          <t>Q3</t>
        </is>
      </c>
      <c r="C39" s="41">
        <f>COUNTIFS('Call Schedule'!$A$2:$A$190,"&gt;="&amp;$A39,'Call Schedule'!$A$2:$A$190,"&lt;="&amp;$A39+6)</f>
        <v/>
      </c>
      <c r="D39" s="41">
        <f>COUNTIFS('Call Schedule'!$A$2:$A$190,"&gt;="&amp;$A39,'Call Schedule'!$A$2:$A$190,"&lt;="&amp;$A39+6,'Call Schedule'!$L$2:$L$190,"done")</f>
        <v/>
      </c>
      <c r="E39" s="41">
        <f>COUNTIFS(Roster!$P$2:$P$98,"&gt;="&amp;$A39,Roster!$P$2:$P$98,"&lt;="&amp;$A39+6)</f>
        <v/>
      </c>
      <c r="F39" s="42" t="n"/>
      <c r="G39" s="42" t="n"/>
      <c r="H39" s="42" t="n"/>
      <c r="I39" s="42" t="n"/>
      <c r="J39" s="42" t="n"/>
      <c r="K39" s="42" t="n"/>
      <c r="L39" s="42" t="n"/>
      <c r="M39" s="33" t="n"/>
    </row>
    <row r="40" ht="22" customHeight="1">
      <c r="A40" s="39" t="n">
        <v>46516</v>
      </c>
      <c r="B40" s="40" t="inlineStr">
        <is>
          <t>Q3</t>
        </is>
      </c>
      <c r="C40" s="41">
        <f>COUNTIFS('Call Schedule'!$A$2:$A$190,"&gt;="&amp;$A40,'Call Schedule'!$A$2:$A$190,"&lt;="&amp;$A40+6)</f>
        <v/>
      </c>
      <c r="D40" s="41">
        <f>COUNTIFS('Call Schedule'!$A$2:$A$190,"&gt;="&amp;$A40,'Call Schedule'!$A$2:$A$190,"&lt;="&amp;$A40+6,'Call Schedule'!$L$2:$L$190,"done")</f>
        <v/>
      </c>
      <c r="E40" s="41">
        <f>COUNTIFS(Roster!$P$2:$P$98,"&gt;="&amp;$A40,Roster!$P$2:$P$98,"&lt;="&amp;$A40+6)</f>
        <v/>
      </c>
      <c r="F40" s="42" t="n"/>
      <c r="G40" s="42" t="n"/>
      <c r="H40" s="42" t="n"/>
      <c r="I40" s="42" t="n"/>
      <c r="J40" s="42" t="n"/>
      <c r="K40" s="42" t="n"/>
      <c r="L40" s="42" t="n"/>
      <c r="M40" s="33" t="n"/>
    </row>
    <row r="41" ht="22" customHeight="1">
      <c r="A41" s="39" t="n">
        <v>46523</v>
      </c>
      <c r="B41" s="40" t="inlineStr">
        <is>
          <t>Q3</t>
        </is>
      </c>
      <c r="C41" s="41">
        <f>COUNTIFS('Call Schedule'!$A$2:$A$190,"&gt;="&amp;$A41,'Call Schedule'!$A$2:$A$190,"&lt;="&amp;$A41+6)</f>
        <v/>
      </c>
      <c r="D41" s="41">
        <f>COUNTIFS('Call Schedule'!$A$2:$A$190,"&gt;="&amp;$A41,'Call Schedule'!$A$2:$A$190,"&lt;="&amp;$A41+6,'Call Schedule'!$L$2:$L$190,"done")</f>
        <v/>
      </c>
      <c r="E41" s="41">
        <f>COUNTIFS(Roster!$P$2:$P$98,"&gt;="&amp;$A41,Roster!$P$2:$P$98,"&lt;="&amp;$A41+6)</f>
        <v/>
      </c>
      <c r="F41" s="42" t="n"/>
      <c r="G41" s="42" t="n"/>
      <c r="H41" s="42" t="n"/>
      <c r="I41" s="42" t="n"/>
      <c r="J41" s="42" t="n"/>
      <c r="K41" s="42" t="n"/>
      <c r="L41" s="42" t="n"/>
      <c r="M41" s="33" t="n"/>
    </row>
    <row r="42" ht="22" customHeight="1">
      <c r="A42" s="39" t="n">
        <v>46530</v>
      </c>
      <c r="B42" s="40" t="inlineStr">
        <is>
          <t>Q3</t>
        </is>
      </c>
      <c r="C42" s="41">
        <f>COUNTIFS('Call Schedule'!$A$2:$A$190,"&gt;="&amp;$A42,'Call Schedule'!$A$2:$A$190,"&lt;="&amp;$A42+6)</f>
        <v/>
      </c>
      <c r="D42" s="41">
        <f>COUNTIFS('Call Schedule'!$A$2:$A$190,"&gt;="&amp;$A42,'Call Schedule'!$A$2:$A$190,"&lt;="&amp;$A42+6,'Call Schedule'!$L$2:$L$190,"done")</f>
        <v/>
      </c>
      <c r="E42" s="41">
        <f>COUNTIFS(Roster!$P$2:$P$98,"&gt;="&amp;$A42,Roster!$P$2:$P$98,"&lt;="&amp;$A42+6)</f>
        <v/>
      </c>
      <c r="F42" s="42" t="n"/>
      <c r="G42" s="42" t="n"/>
      <c r="H42" s="42" t="n"/>
      <c r="I42" s="42" t="n"/>
      <c r="J42" s="42" t="n"/>
      <c r="K42" s="42" t="n"/>
      <c r="L42" s="42" t="n"/>
      <c r="M42" s="33" t="n"/>
    </row>
    <row r="43" ht="22" customHeight="1">
      <c r="A43" s="39" t="n">
        <v>46537</v>
      </c>
      <c r="B43" s="40" t="inlineStr">
        <is>
          <t>Q3</t>
        </is>
      </c>
      <c r="C43" s="41">
        <f>COUNTIFS('Call Schedule'!$A$2:$A$190,"&gt;="&amp;$A43,'Call Schedule'!$A$2:$A$190,"&lt;="&amp;$A43+6)</f>
        <v/>
      </c>
      <c r="D43" s="41">
        <f>COUNTIFS('Call Schedule'!$A$2:$A$190,"&gt;="&amp;$A43,'Call Schedule'!$A$2:$A$190,"&lt;="&amp;$A43+6,'Call Schedule'!$L$2:$L$190,"done")</f>
        <v/>
      </c>
      <c r="E43" s="41">
        <f>COUNTIFS(Roster!$P$2:$P$98,"&gt;="&amp;$A43,Roster!$P$2:$P$98,"&lt;="&amp;$A43+6)</f>
        <v/>
      </c>
      <c r="F43" s="42" t="n"/>
      <c r="G43" s="42" t="n"/>
      <c r="H43" s="42" t="n"/>
      <c r="I43" s="42" t="n"/>
      <c r="J43" s="42" t="n"/>
      <c r="K43" s="42" t="n"/>
      <c r="L43" s="42" t="n"/>
      <c r="M43" s="33" t="n"/>
    </row>
    <row r="44" ht="22" customHeight="1">
      <c r="A44" s="39" t="n">
        <v>46544</v>
      </c>
      <c r="B44" s="40" t="inlineStr">
        <is>
          <t>Q4</t>
        </is>
      </c>
      <c r="C44" s="41">
        <f>COUNTIFS('Call Schedule'!$A$2:$A$190,"&gt;="&amp;$A44,'Call Schedule'!$A$2:$A$190,"&lt;="&amp;$A44+6)</f>
        <v/>
      </c>
      <c r="D44" s="41">
        <f>COUNTIFS('Call Schedule'!$A$2:$A$190,"&gt;="&amp;$A44,'Call Schedule'!$A$2:$A$190,"&lt;="&amp;$A44+6,'Call Schedule'!$L$2:$L$190,"done")</f>
        <v/>
      </c>
      <c r="E44" s="41">
        <f>COUNTIFS(Roster!$P$2:$P$98,"&gt;="&amp;$A44,Roster!$P$2:$P$98,"&lt;="&amp;$A44+6)</f>
        <v/>
      </c>
      <c r="F44" s="42" t="n"/>
      <c r="G44" s="42" t="n"/>
      <c r="H44" s="42" t="n"/>
      <c r="I44" s="42" t="n"/>
      <c r="J44" s="42" t="n"/>
      <c r="K44" s="42" t="n"/>
      <c r="L44" s="42" t="n"/>
      <c r="M44" s="33" t="n"/>
    </row>
    <row r="45" ht="22" customHeight="1">
      <c r="A45" s="39" t="n">
        <v>46551</v>
      </c>
      <c r="B45" s="40" t="inlineStr">
        <is>
          <t>Q4</t>
        </is>
      </c>
      <c r="C45" s="41">
        <f>COUNTIFS('Call Schedule'!$A$2:$A$190,"&gt;="&amp;$A45,'Call Schedule'!$A$2:$A$190,"&lt;="&amp;$A45+6)</f>
        <v/>
      </c>
      <c r="D45" s="41">
        <f>COUNTIFS('Call Schedule'!$A$2:$A$190,"&gt;="&amp;$A45,'Call Schedule'!$A$2:$A$190,"&lt;="&amp;$A45+6,'Call Schedule'!$L$2:$L$190,"done")</f>
        <v/>
      </c>
      <c r="E45" s="41">
        <f>COUNTIFS(Roster!$P$2:$P$98,"&gt;="&amp;$A45,Roster!$P$2:$P$98,"&lt;="&amp;$A45+6)</f>
        <v/>
      </c>
      <c r="F45" s="42" t="n"/>
      <c r="G45" s="42" t="n"/>
      <c r="H45" s="42" t="n"/>
      <c r="I45" s="42" t="n"/>
      <c r="J45" s="42" t="n"/>
      <c r="K45" s="42" t="n"/>
      <c r="L45" s="42" t="n"/>
      <c r="M45" s="33" t="n"/>
    </row>
    <row r="46" ht="22" customHeight="1">
      <c r="A46" s="39" t="n">
        <v>46558</v>
      </c>
      <c r="B46" s="40" t="inlineStr">
        <is>
          <t>Q4</t>
        </is>
      </c>
      <c r="C46" s="41">
        <f>COUNTIFS('Call Schedule'!$A$2:$A$190,"&gt;="&amp;$A46,'Call Schedule'!$A$2:$A$190,"&lt;="&amp;$A46+6)</f>
        <v/>
      </c>
      <c r="D46" s="41">
        <f>COUNTIFS('Call Schedule'!$A$2:$A$190,"&gt;="&amp;$A46,'Call Schedule'!$A$2:$A$190,"&lt;="&amp;$A46+6,'Call Schedule'!$L$2:$L$190,"done")</f>
        <v/>
      </c>
      <c r="E46" s="41">
        <f>COUNTIFS(Roster!$P$2:$P$98,"&gt;="&amp;$A46,Roster!$P$2:$P$98,"&lt;="&amp;$A46+6)</f>
        <v/>
      </c>
      <c r="F46" s="42" t="n"/>
      <c r="G46" s="42" t="n"/>
      <c r="H46" s="42" t="n"/>
      <c r="I46" s="42" t="n"/>
      <c r="J46" s="42" t="n"/>
      <c r="K46" s="42" t="n"/>
      <c r="L46" s="42" t="n"/>
      <c r="M46" s="33" t="n"/>
    </row>
    <row r="47" ht="22" customHeight="1">
      <c r="A47" s="39" t="n">
        <v>46565</v>
      </c>
      <c r="B47" s="40" t="inlineStr">
        <is>
          <t>Q4</t>
        </is>
      </c>
      <c r="C47" s="41">
        <f>COUNTIFS('Call Schedule'!$A$2:$A$190,"&gt;="&amp;$A47,'Call Schedule'!$A$2:$A$190,"&lt;="&amp;$A47+6)</f>
        <v/>
      </c>
      <c r="D47" s="41">
        <f>COUNTIFS('Call Schedule'!$A$2:$A$190,"&gt;="&amp;$A47,'Call Schedule'!$A$2:$A$190,"&lt;="&amp;$A47+6,'Call Schedule'!$L$2:$L$190,"done")</f>
        <v/>
      </c>
      <c r="E47" s="41">
        <f>COUNTIFS(Roster!$P$2:$P$98,"&gt;="&amp;$A47,Roster!$P$2:$P$98,"&lt;="&amp;$A47+6)</f>
        <v/>
      </c>
      <c r="F47" s="42" t="n"/>
      <c r="G47" s="42" t="n"/>
      <c r="H47" s="42" t="n"/>
      <c r="I47" s="42" t="n"/>
      <c r="J47" s="42" t="n"/>
      <c r="K47" s="42" t="n"/>
      <c r="L47" s="42" t="n"/>
      <c r="M47" s="33" t="n"/>
    </row>
    <row r="48" ht="22" customHeight="1">
      <c r="A48" s="39" t="n">
        <v>46572</v>
      </c>
      <c r="B48" s="40" t="inlineStr">
        <is>
          <t>Q4</t>
        </is>
      </c>
      <c r="C48" s="41">
        <f>COUNTIFS('Call Schedule'!$A$2:$A$190,"&gt;="&amp;$A48,'Call Schedule'!$A$2:$A$190,"&lt;="&amp;$A48+6)</f>
        <v/>
      </c>
      <c r="D48" s="41">
        <f>COUNTIFS('Call Schedule'!$A$2:$A$190,"&gt;="&amp;$A48,'Call Schedule'!$A$2:$A$190,"&lt;="&amp;$A48+6,'Call Schedule'!$L$2:$L$190,"done")</f>
        <v/>
      </c>
      <c r="E48" s="41">
        <f>COUNTIFS(Roster!$P$2:$P$98,"&gt;="&amp;$A48,Roster!$P$2:$P$98,"&lt;="&amp;$A48+6)</f>
        <v/>
      </c>
      <c r="F48" s="42" t="n"/>
      <c r="G48" s="42" t="n"/>
      <c r="H48" s="42" t="n"/>
      <c r="I48" s="42" t="n"/>
      <c r="J48" s="42" t="n"/>
      <c r="K48" s="42" t="n"/>
      <c r="L48" s="42" t="n"/>
      <c r="M48" s="33" t="n"/>
    </row>
    <row r="49" ht="22" customHeight="1">
      <c r="A49" s="39" t="n">
        <v>46579</v>
      </c>
      <c r="B49" s="40" t="inlineStr">
        <is>
          <t>Q4</t>
        </is>
      </c>
      <c r="C49" s="41">
        <f>COUNTIFS('Call Schedule'!$A$2:$A$190,"&gt;="&amp;$A49,'Call Schedule'!$A$2:$A$190,"&lt;="&amp;$A49+6)</f>
        <v/>
      </c>
      <c r="D49" s="41">
        <f>COUNTIFS('Call Schedule'!$A$2:$A$190,"&gt;="&amp;$A49,'Call Schedule'!$A$2:$A$190,"&lt;="&amp;$A49+6,'Call Schedule'!$L$2:$L$190,"done")</f>
        <v/>
      </c>
      <c r="E49" s="41">
        <f>COUNTIFS(Roster!$P$2:$P$98,"&gt;="&amp;$A49,Roster!$P$2:$P$98,"&lt;="&amp;$A49+6)</f>
        <v/>
      </c>
      <c r="F49" s="42" t="n"/>
      <c r="G49" s="42" t="n"/>
      <c r="H49" s="42" t="n"/>
      <c r="I49" s="42" t="n"/>
      <c r="J49" s="42" t="n"/>
      <c r="K49" s="42" t="n"/>
      <c r="L49" s="42" t="n"/>
      <c r="M49" s="33" t="n"/>
    </row>
    <row r="50" ht="22" customHeight="1">
      <c r="A50" s="39" t="n">
        <v>46586</v>
      </c>
      <c r="B50" s="40" t="inlineStr">
        <is>
          <t>Q4</t>
        </is>
      </c>
      <c r="C50" s="41">
        <f>COUNTIFS('Call Schedule'!$A$2:$A$190,"&gt;="&amp;$A50,'Call Schedule'!$A$2:$A$190,"&lt;="&amp;$A50+6)</f>
        <v/>
      </c>
      <c r="D50" s="41">
        <f>COUNTIFS('Call Schedule'!$A$2:$A$190,"&gt;="&amp;$A50,'Call Schedule'!$A$2:$A$190,"&lt;="&amp;$A50+6,'Call Schedule'!$L$2:$L$190,"done")</f>
        <v/>
      </c>
      <c r="E50" s="41">
        <f>COUNTIFS(Roster!$P$2:$P$98,"&gt;="&amp;$A50,Roster!$P$2:$P$98,"&lt;="&amp;$A50+6)</f>
        <v/>
      </c>
      <c r="F50" s="42" t="n"/>
      <c r="G50" s="42" t="n"/>
      <c r="H50" s="42" t="n"/>
      <c r="I50" s="42" t="n"/>
      <c r="J50" s="42" t="n"/>
      <c r="K50" s="42" t="n"/>
      <c r="L50" s="42" t="n"/>
      <c r="M50" s="33" t="n"/>
    </row>
    <row r="51" ht="22" customHeight="1">
      <c r="A51" s="39" t="n">
        <v>46593</v>
      </c>
      <c r="B51" s="40" t="inlineStr">
        <is>
          <t>Q4</t>
        </is>
      </c>
      <c r="C51" s="41">
        <f>COUNTIFS('Call Schedule'!$A$2:$A$190,"&gt;="&amp;$A51,'Call Schedule'!$A$2:$A$190,"&lt;="&amp;$A51+6)</f>
        <v/>
      </c>
      <c r="D51" s="41">
        <f>COUNTIFS('Call Schedule'!$A$2:$A$190,"&gt;="&amp;$A51,'Call Schedule'!$A$2:$A$190,"&lt;="&amp;$A51+6,'Call Schedule'!$L$2:$L$190,"done")</f>
        <v/>
      </c>
      <c r="E51" s="41">
        <f>COUNTIFS(Roster!$P$2:$P$98,"&gt;="&amp;$A51,Roster!$P$2:$P$98,"&lt;="&amp;$A51+6)</f>
        <v/>
      </c>
      <c r="F51" s="42" t="n"/>
      <c r="G51" s="42" t="n"/>
      <c r="H51" s="42" t="n"/>
      <c r="I51" s="42" t="n"/>
      <c r="J51" s="42" t="n"/>
      <c r="K51" s="42" t="n"/>
      <c r="L51" s="42" t="n"/>
      <c r="M51" s="33" t="n"/>
    </row>
    <row r="52" ht="22" customHeight="1">
      <c r="A52" s="39" t="n">
        <v>46600</v>
      </c>
      <c r="B52" s="40" t="inlineStr">
        <is>
          <t>Q4</t>
        </is>
      </c>
      <c r="C52" s="41">
        <f>COUNTIFS('Call Schedule'!$A$2:$A$190,"&gt;="&amp;$A52,'Call Schedule'!$A$2:$A$190,"&lt;="&amp;$A52+6)</f>
        <v/>
      </c>
      <c r="D52" s="41">
        <f>COUNTIFS('Call Schedule'!$A$2:$A$190,"&gt;="&amp;$A52,'Call Schedule'!$A$2:$A$190,"&lt;="&amp;$A52+6,'Call Schedule'!$L$2:$L$190,"done")</f>
        <v/>
      </c>
      <c r="E52" s="41">
        <f>COUNTIFS(Roster!$P$2:$P$98,"&gt;="&amp;$A52,Roster!$P$2:$P$98,"&lt;="&amp;$A52+6)</f>
        <v/>
      </c>
      <c r="F52" s="42" t="n"/>
      <c r="G52" s="42" t="n"/>
      <c r="H52" s="42" t="n"/>
      <c r="I52" s="42" t="n"/>
      <c r="J52" s="42" t="n"/>
      <c r="K52" s="42" t="n"/>
      <c r="L52" s="42" t="n"/>
      <c r="M52" s="33" t="n"/>
    </row>
    <row r="53" ht="22" customHeight="1">
      <c r="A53" s="39" t="n">
        <v>46607</v>
      </c>
      <c r="B53" s="40" t="inlineStr">
        <is>
          <t>Q4</t>
        </is>
      </c>
      <c r="C53" s="41">
        <f>COUNTIFS('Call Schedule'!$A$2:$A$190,"&gt;="&amp;$A53,'Call Schedule'!$A$2:$A$190,"&lt;="&amp;$A53+6)</f>
        <v/>
      </c>
      <c r="D53" s="41">
        <f>COUNTIFS('Call Schedule'!$A$2:$A$190,"&gt;="&amp;$A53,'Call Schedule'!$A$2:$A$190,"&lt;="&amp;$A53+6,'Call Schedule'!$L$2:$L$190,"done")</f>
        <v/>
      </c>
      <c r="E53" s="41">
        <f>COUNTIFS(Roster!$P$2:$P$98,"&gt;="&amp;$A53,Roster!$P$2:$P$98,"&lt;="&amp;$A53+6)</f>
        <v/>
      </c>
      <c r="F53" s="42" t="n"/>
      <c r="G53" s="42" t="n"/>
      <c r="H53" s="42" t="n"/>
      <c r="I53" s="42" t="n"/>
      <c r="J53" s="42" t="n"/>
      <c r="K53" s="42" t="n"/>
      <c r="L53" s="42" t="n"/>
      <c r="M53" s="33" t="n"/>
    </row>
    <row r="54" ht="22" customHeight="1">
      <c r="A54" s="39" t="n">
        <v>46614</v>
      </c>
      <c r="B54" s="40" t="inlineStr">
        <is>
          <t>Q4</t>
        </is>
      </c>
      <c r="C54" s="41">
        <f>COUNTIFS('Call Schedule'!$A$2:$A$190,"&gt;="&amp;$A54,'Call Schedule'!$A$2:$A$190,"&lt;="&amp;$A54+6)</f>
        <v/>
      </c>
      <c r="D54" s="41">
        <f>COUNTIFS('Call Schedule'!$A$2:$A$190,"&gt;="&amp;$A54,'Call Schedule'!$A$2:$A$190,"&lt;="&amp;$A54+6,'Call Schedule'!$L$2:$L$190,"done")</f>
        <v/>
      </c>
      <c r="E54" s="41">
        <f>COUNTIFS(Roster!$P$2:$P$98,"&gt;="&amp;$A54,Roster!$P$2:$P$98,"&lt;="&amp;$A54+6)</f>
        <v/>
      </c>
      <c r="F54" s="42" t="n"/>
      <c r="G54" s="42" t="n"/>
      <c r="H54" s="42" t="n"/>
      <c r="I54" s="42" t="n"/>
      <c r="J54" s="42" t="n"/>
      <c r="K54" s="42" t="n"/>
      <c r="L54" s="42" t="n"/>
      <c r="M54" s="33" t="n"/>
    </row>
    <row r="55" ht="22" customHeight="1">
      <c r="A55" s="39" t="n">
        <v>46621</v>
      </c>
      <c r="B55" s="40" t="inlineStr">
        <is>
          <t>Q4</t>
        </is>
      </c>
      <c r="C55" s="41">
        <f>COUNTIFS('Call Schedule'!$A$2:$A$190,"&gt;="&amp;$A55,'Call Schedule'!$A$2:$A$190,"&lt;="&amp;$A55+6)</f>
        <v/>
      </c>
      <c r="D55" s="41">
        <f>COUNTIFS('Call Schedule'!$A$2:$A$190,"&gt;="&amp;$A55,'Call Schedule'!$A$2:$A$190,"&lt;="&amp;$A55+6,'Call Schedule'!$L$2:$L$190,"done")</f>
        <v/>
      </c>
      <c r="E55" s="41">
        <f>COUNTIFS(Roster!$P$2:$P$98,"&gt;="&amp;$A55,Roster!$P$2:$P$98,"&lt;="&amp;$A55+6)</f>
        <v/>
      </c>
      <c r="F55" s="42" t="n"/>
      <c r="G55" s="42" t="n"/>
      <c r="H55" s="42" t="n"/>
      <c r="I55" s="42" t="n"/>
      <c r="J55" s="42" t="n"/>
      <c r="K55" s="42" t="n"/>
      <c r="L55" s="42" t="n"/>
      <c r="M55" s="33" t="n"/>
    </row>
    <row r="58">
      <c r="A58" s="5" t="inlineStr">
        <is>
          <t>The funnel (§19)</t>
        </is>
      </c>
    </row>
    <row r="59">
      <c r="A59" s="7" t="inlineStr">
        <is>
          <t>Counted off Tie strength in the Roster. Far more meaningful than 'I did 17 calls'. Early on it will look thin — report it thin.</t>
        </is>
      </c>
    </row>
    <row r="61">
      <c r="A61" s="43" t="inlineStr">
        <is>
          <t>Alumni</t>
        </is>
      </c>
      <c r="B61" s="43" t="inlineStr">
        <is>
          <t>Known</t>
        </is>
      </c>
      <c r="C61" s="43" t="inlineStr">
        <is>
          <t>Connected</t>
        </is>
      </c>
      <c r="D61" s="43" t="inlineStr">
        <is>
          <t>Engaged</t>
        </is>
      </c>
      <c r="E61" s="43" t="inlineStr">
        <is>
          <t>Contributor</t>
        </is>
      </c>
      <c r="F61" s="43" t="inlineStr">
        <is>
          <t>Node</t>
        </is>
      </c>
    </row>
    <row r="62" ht="30" customHeight="1">
      <c r="A62" s="44">
        <f>COUNTA(Roster!$B$2:$B$98)</f>
        <v/>
      </c>
      <c r="B62" s="44">
        <f>COUNTIF(Roster!$L$2:$L$98,"Known")</f>
        <v/>
      </c>
      <c r="C62" s="44">
        <f>COUNTIF(Roster!$L$2:$L$98,"Connected")</f>
        <v/>
      </c>
      <c r="D62" s="44">
        <f>COUNTIF(Roster!$L$2:$L$98,"Engaged")</f>
        <v/>
      </c>
      <c r="E62" s="44">
        <f>COUNTIF(Roster!$L$2:$L$98,"Contributor")</f>
        <v/>
      </c>
      <c r="F62" s="44">
        <f>COUNTIF(Roster!$L$2:$L$98,"Node")</f>
        <v/>
      </c>
    </row>
    <row r="64">
      <c r="A64" s="5" t="inlineStr">
        <is>
          <t>Dependency on Avishag (§18)</t>
        </is>
      </c>
    </row>
    <row r="65">
      <c r="A65" s="3" t="inlineStr">
        <is>
          <t>What share of the week's items closed without her. 100% is not the goal — less over time is.</t>
        </is>
      </c>
    </row>
    <row r="67">
      <c r="A67" s="45" t="inlineStr">
        <is>
          <t>Items handled this week</t>
        </is>
      </c>
      <c r="B67" s="46" t="n"/>
    </row>
    <row r="68">
      <c r="A68" s="45" t="inlineStr">
        <is>
          <t>Of those, closed without Avishag</t>
        </is>
      </c>
      <c r="B68" s="46" t="n"/>
    </row>
    <row r="69">
      <c r="A69" s="45" t="inlineStr">
        <is>
          <t>% handled independently</t>
        </is>
      </c>
      <c r="B69" s="47">
        <f>IF($B67=0,0,$B68/$B67)</f>
        <v/>
      </c>
    </row>
    <row r="72">
      <c r="A72" s="5" t="inlineStr">
        <is>
          <t>Three lines, every Thursday (§21)</t>
        </is>
      </c>
    </row>
    <row r="73" ht="24" customHeight="1">
      <c r="A73" s="48" t="inlineStr">
        <is>
          <t>מה למדתי — what did I learn about our people this week?</t>
        </is>
      </c>
      <c r="D73" s="46" t="n"/>
      <c r="E73" s="22" t="n"/>
      <c r="F73" s="22" t="n"/>
      <c r="G73" s="22" t="n"/>
      <c r="H73" s="22" t="n"/>
      <c r="I73" s="22" t="n"/>
      <c r="J73" s="22" t="n"/>
      <c r="K73" s="22" t="n"/>
      <c r="L73" s="22" t="n"/>
      <c r="M73" s="23" t="n"/>
    </row>
    <row r="74" ht="24" customHeight="1">
      <c r="A74" s="48" t="inlineStr">
        <is>
          <t>מה אני ממליץ — what should APEX do about it?</t>
        </is>
      </c>
      <c r="D74" s="46" t="n"/>
      <c r="E74" s="22" t="n"/>
      <c r="F74" s="22" t="n"/>
      <c r="G74" s="22" t="n"/>
      <c r="H74" s="22" t="n"/>
      <c r="I74" s="22" t="n"/>
      <c r="J74" s="22" t="n"/>
      <c r="K74" s="22" t="n"/>
      <c r="L74" s="22" t="n"/>
      <c r="M74" s="23" t="n"/>
    </row>
    <row r="75" ht="24" customHeight="1">
      <c r="A75" s="48" t="inlineStr">
        <is>
          <t>מה אני צריך מאבישג — max three. Zero is better.</t>
        </is>
      </c>
      <c r="D75" s="46" t="n"/>
      <c r="E75" s="22" t="n"/>
      <c r="F75" s="22" t="n"/>
      <c r="G75" s="22" t="n"/>
      <c r="H75" s="22" t="n"/>
      <c r="I75" s="22" t="n"/>
      <c r="J75" s="22" t="n"/>
      <c r="K75" s="22" t="n"/>
      <c r="L75" s="22" t="n"/>
      <c r="M75" s="23" t="n"/>
    </row>
  </sheetData>
  <mergeCells count="9">
    <mergeCell ref="A2:L2"/>
    <mergeCell ref="A75:C75"/>
    <mergeCell ref="A74:C74"/>
    <mergeCell ref="D74:M74"/>
    <mergeCell ref="D75:M75"/>
    <mergeCell ref="D73:M73"/>
    <mergeCell ref="A73:C73"/>
    <mergeCell ref="A59:F59"/>
    <mergeCell ref="A65:F65"/>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5" customWidth="1" min="1" max="1"/>
    <col width="44" customWidth="1" min="2" max="2"/>
    <col width="46" customWidth="1" min="3" max="3"/>
    <col width="26" customWidth="1" min="4" max="4"/>
    <col width="14" customWidth="1" min="5" max="5"/>
  </cols>
  <sheetData>
    <row r="1">
      <c r="A1" s="1" t="inlineStr">
        <is>
          <t>The 90-day test</t>
        </is>
      </c>
    </row>
    <row r="2">
      <c r="A2" s="7" t="inlineStr">
        <is>
          <t>§24 — in ninety days these must be answerable without asking anyone. Q1 is built backwards from them. Deadline: 30 Nov 2026.</t>
        </is>
      </c>
    </row>
    <row r="4" ht="28" customHeight="1">
      <c r="A4" s="24" t="inlineStr">
        <is>
          <t>#</t>
        </is>
      </c>
      <c r="B4" s="24" t="inlineStr">
        <is>
          <t>The question §24 asks</t>
        </is>
      </c>
      <c r="C4" s="24" t="inlineStr">
        <is>
          <t>What has to exist for it to be answerable</t>
        </is>
      </c>
      <c r="D4" s="24" t="inlineStr">
        <is>
          <t>Where it is tracked</t>
        </is>
      </c>
      <c r="E4" s="24" t="inlineStr">
        <is>
          <t>Status</t>
        </is>
      </c>
    </row>
    <row r="5" ht="32" customHeight="1">
      <c r="A5" s="40" t="n">
        <v>1</v>
      </c>
      <c r="B5" s="28" t="inlineStr">
        <is>
          <t>Who are our 20 strongest alumni?</t>
        </is>
      </c>
      <c r="C5" s="28" t="inlineStr">
        <is>
          <t>All 27 tier-A alumni called at least once</t>
        </is>
      </c>
      <c r="D5" s="28" t="inlineStr">
        <is>
          <t>Call Schedule, filter Tier = A</t>
        </is>
      </c>
      <c r="E5" s="49" t="n"/>
    </row>
    <row r="6" ht="32" customHeight="1">
      <c r="A6" s="40" t="n">
        <v>2</v>
      </c>
      <c r="B6" s="28" t="inlineStr">
        <is>
          <t>What is each of them doing right now?</t>
        </is>
      </c>
      <c r="C6" s="28" t="inlineStr">
        <is>
          <t>Now / current goal filled for every tier-A row</t>
        </is>
      </c>
      <c r="D6" s="28" t="inlineStr">
        <is>
          <t>Roster, column M</t>
        </is>
      </c>
      <c r="E6" s="49" t="n"/>
    </row>
    <row r="7" ht="32" customHeight="1">
      <c r="A7" s="40" t="n">
        <v>3</v>
      </c>
      <c r="B7" s="28" t="inlineStr">
        <is>
          <t>Who is on the way to founding?</t>
        </is>
      </c>
      <c r="C7" s="28" t="inlineStr">
        <is>
          <t>The founding-track question asked on every tier-A call</t>
        </is>
      </c>
      <c r="D7" s="28" t="inlineStr">
        <is>
          <t>Roster, Notes + Now</t>
        </is>
      </c>
      <c r="E7" s="49" t="n"/>
    </row>
    <row r="8" ht="32" customHeight="1">
      <c r="A8" s="40" t="n">
        <v>4</v>
      </c>
      <c r="B8" s="28" t="inlineStr">
        <is>
          <t>What does each of them need?</t>
        </is>
      </c>
      <c r="C8" s="28" t="inlineStr">
        <is>
          <t>Needs filled for every tier-A row</t>
        </is>
      </c>
      <c r="D8" s="28" t="inlineStr">
        <is>
          <t>Roster, column N</t>
        </is>
      </c>
      <c r="E8" s="49" t="n"/>
    </row>
    <row r="9" ht="32" customHeight="1">
      <c r="A9" s="40" t="n">
        <v>5</v>
      </c>
      <c r="B9" s="28" t="inlineStr">
        <is>
          <t>What can each of them help with?</t>
        </is>
      </c>
      <c r="C9" s="28" t="inlineStr">
        <is>
          <t>Can help with filled for every tier-A row</t>
        </is>
      </c>
      <c r="D9" s="28" t="inlineStr">
        <is>
          <t>Roster, column O</t>
        </is>
      </c>
      <c r="E9" s="49" t="n"/>
    </row>
    <row r="10" ht="32" customHeight="1">
      <c r="A10" s="40" t="n">
        <v>6</v>
      </c>
      <c r="B10" s="28" t="inlineStr">
        <is>
          <t>Who already helps others?</t>
        </is>
      </c>
      <c r="C10" s="28" t="inlineStr">
        <is>
          <t>Tie strength set to Contributor or Node where true</t>
        </is>
      </c>
      <c r="D10" s="28" t="inlineStr">
        <is>
          <t>Roster, column L</t>
        </is>
      </c>
      <c r="E10" s="49" t="n"/>
    </row>
    <row r="11" ht="32" customHeight="1">
      <c r="A11" s="40" t="n">
        <v>7</v>
      </c>
      <c r="B11" s="28" t="inlineStr">
        <is>
          <t>Who are our people in SF?</t>
        </is>
      </c>
      <c r="C11" s="28" t="inlineStr">
        <is>
          <t>SF phases 1–2 done — circle mapped, key people met</t>
        </is>
      </c>
      <c r="D11" s="28" t="inlineStr">
        <is>
          <t>Projects sheet</t>
        </is>
      </c>
      <c r="E11" s="49" t="n"/>
    </row>
    <row r="12" ht="32" customHeight="1">
      <c r="A12" s="40" t="n">
        <v>8</v>
      </c>
      <c r="B12" s="28" t="inlineStr">
        <is>
          <t>Do we have the first 20 Office Hours contributors?</t>
        </is>
      </c>
      <c r="C12" s="28" t="inlineStr">
        <is>
          <t>8 recruited by 30 Nov, with the anti-abuse model researched first</t>
        </is>
      </c>
      <c r="D12" s="28" t="inlineStr">
        <is>
          <t>Projects sheet</t>
        </is>
      </c>
      <c r="E12" s="49" t="n"/>
    </row>
    <row r="13" ht="32" customHeight="1">
      <c r="A13" s="40" t="n">
        <v>9</v>
      </c>
      <c r="B13" s="28" t="inlineStr">
        <is>
          <t>Which relationships moved from Avishag to Nadav?</t>
        </is>
      </c>
      <c r="C13" s="28" t="inlineStr">
        <is>
          <t>Counted weekly from week one, so a trend exists by Q4</t>
        </is>
      </c>
      <c r="D13" s="28" t="inlineStr">
        <is>
          <t>KPI Tracker, column K</t>
        </is>
      </c>
      <c r="E13" s="49" t="n"/>
    </row>
    <row r="14" ht="32" customHeight="1">
      <c r="A14" s="40" t="n">
        <v>10</v>
      </c>
      <c r="B14" s="28" t="inlineStr">
        <is>
          <t>The 16 alumni with no verified role</t>
        </is>
      </c>
      <c r="C14" s="28" t="inlineStr">
        <is>
          <t>Role and company established for each</t>
        </is>
      </c>
      <c r="D14" s="28" t="inlineStr">
        <is>
          <t>Roster, filter Role = blank</t>
        </is>
      </c>
      <c r="E14" s="49" t="n"/>
    </row>
    <row r="15" ht="32" customHeight="1">
      <c r="A15" s="40" t="n">
        <v>11</v>
      </c>
      <c r="B15" s="28" t="inlineStr">
        <is>
          <t>If Avishag vanished for a month, would the network keep strengthening?</t>
        </is>
      </c>
      <c r="C15" s="28" t="inlineStr">
        <is>
          <t>The honest answer, written down</t>
        </is>
      </c>
      <c r="D15" s="28" t="inlineStr">
        <is>
          <t>Thursday report</t>
        </is>
      </c>
      <c r="E15" s="49" t="n"/>
    </row>
    <row r="17">
      <c r="B17" s="20" t="inlineStr">
        <is>
          <t>Tier-A calls completed</t>
        </is>
      </c>
      <c r="C17" s="20">
        <f>COUNTIFS('Call Schedule'!$G$2:$G$190,"A",'Call Schedule'!$L$2:$L$190,"done")</f>
        <v/>
      </c>
    </row>
    <row r="18">
      <c r="B18" s="20" t="inlineStr">
        <is>
          <t>Roster rows with Needs filled</t>
        </is>
      </c>
      <c r="C18" s="20">
        <f>COUNTA(Roster!$N$2:$N$98)</f>
        <v/>
      </c>
    </row>
    <row r="19">
      <c r="B19" s="20" t="inlineStr">
        <is>
          <t>Roster rows still with no verified role</t>
        </is>
      </c>
      <c r="C19" s="20">
        <f>COUNTIF(Roster!$H$2:$H$98,"Unknown*")</f>
        <v/>
      </c>
    </row>
  </sheetData>
  <mergeCells count="1">
    <mergeCell ref="A2:E2"/>
  </mergeCells>
  <dataValidations count="1">
    <dataValidation sqref="E5 E6 E7 E8 E9 E10 E11 E12 E13 E14 E15" showDropDown="0" showInputMessage="0" showErrorMessage="0" allowBlank="1" type="list">
      <formula1>"not started,in progress,done"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20" customWidth="1" min="1" max="1"/>
    <col width="56" customWidth="1" min="2" max="2"/>
    <col width="22" customWidth="1" min="3" max="3"/>
    <col width="20" customWidth="1" min="4" max="4"/>
    <col width="14" customWidth="1" min="5" max="5"/>
    <col width="40" customWidth="1" min="6" max="6"/>
  </cols>
  <sheetData>
    <row r="1">
      <c r="A1" s="1" t="inlineStr">
        <is>
          <t>Standing projects</t>
        </is>
      </c>
    </row>
    <row r="2">
      <c r="A2" s="3" t="inlineStr">
        <is>
          <t>§9–§12. Dates are the plan's; owners and status are yours.</t>
        </is>
      </c>
    </row>
    <row r="4" ht="28" customHeight="1">
      <c r="A4" s="24" t="inlineStr">
        <is>
          <t>Project</t>
        </is>
      </c>
      <c r="B4" s="24" t="inlineStr">
        <is>
          <t>What it is</t>
        </is>
      </c>
      <c r="C4" s="24" t="inlineStr">
        <is>
          <t>Target</t>
        </is>
      </c>
      <c r="D4" s="24" t="inlineStr">
        <is>
          <t>When</t>
        </is>
      </c>
      <c r="E4" s="24" t="inlineStr">
        <is>
          <t>Status</t>
        </is>
      </c>
      <c r="F4" s="24" t="inlineStr">
        <is>
          <t>Notes</t>
        </is>
      </c>
    </row>
    <row r="5" ht="40" customHeight="1">
      <c r="A5" s="50" t="inlineStr">
        <is>
          <t>Alumni Roll-Up</t>
        </is>
      </c>
      <c r="B5" s="28" t="inlineStr">
        <is>
          <t>A live picture of every alum — not a list of names. Done when every row carries role, company, current goal and a next action.</t>
        </is>
      </c>
      <c r="C5" s="28" t="inlineStr">
        <is>
          <t>16 unknowns → 0</t>
        </is>
      </c>
      <c r="D5" s="26" t="inlineStr">
        <is>
          <t>By 30 Nov 2026</t>
        </is>
      </c>
      <c r="E5" s="29" t="n"/>
      <c r="F5" s="21" t="n"/>
    </row>
    <row r="6" ht="40" customHeight="1">
      <c r="A6" s="50" t="inlineStr">
        <is>
          <t>Coffee Club #1</t>
        </is>
      </c>
      <c r="B6" s="28" t="inlineStr">
        <is>
          <t>Four alumni, one per cohort, plus Avishag and Nadav. Listen through them, and start making each one active in the network. Nobody repeats within the year. Not called Coffee Club out loud.</t>
        </is>
      </c>
      <c r="C6" s="28" t="inlineStr">
        <is>
          <t>4 alumni</t>
        </is>
      </c>
      <c r="D6" s="26" t="inlineStr">
        <is>
          <t>Early Oct 2026</t>
        </is>
      </c>
      <c r="E6" s="29" t="n"/>
      <c r="F6" s="21" t="n"/>
    </row>
    <row r="7" ht="40" customHeight="1">
      <c r="A7" s="50" t="inlineStr">
        <is>
          <t>Coffee Club #2</t>
        </is>
      </c>
      <c r="B7" s="28" t="inlineStr">
        <is>
          <t>As above — follow-ups from #1 owned by Nadav.</t>
        </is>
      </c>
      <c r="C7" s="28" t="inlineStr">
        <is>
          <t>4 alumni</t>
        </is>
      </c>
      <c r="D7" s="26" t="inlineStr">
        <is>
          <t>Early Dec 2026</t>
        </is>
      </c>
      <c r="E7" s="29" t="n"/>
      <c r="F7" s="21" t="n"/>
    </row>
    <row r="8" ht="40" customHeight="1">
      <c r="A8" s="50" t="inlineStr">
        <is>
          <t>Coffee Club #3</t>
        </is>
      </c>
      <c r="B8" s="28" t="inlineStr">
        <is>
          <t>As above.</t>
        </is>
      </c>
      <c r="C8" s="28" t="inlineStr">
        <is>
          <t>4 alumni</t>
        </is>
      </c>
      <c r="D8" s="26" t="inlineStr">
        <is>
          <t>Feb 2027</t>
        </is>
      </c>
      <c r="E8" s="29" t="n"/>
      <c r="F8" s="21" t="n"/>
    </row>
    <row r="9" ht="40" customHeight="1">
      <c r="A9" s="50" t="inlineStr">
        <is>
          <t>Coffee Club #4</t>
        </is>
      </c>
      <c r="B9" s="28" t="inlineStr">
        <is>
          <t>As above.</t>
        </is>
      </c>
      <c r="C9" s="28" t="inlineStr">
        <is>
          <t>4 alumni</t>
        </is>
      </c>
      <c r="D9" s="26" t="inlineStr">
        <is>
          <t>Apr 2027</t>
        </is>
      </c>
      <c r="E9" s="29" t="n"/>
      <c r="F9" s="21" t="n"/>
    </row>
    <row r="10" ht="40" customHeight="1">
      <c r="A10" s="50" t="inlineStr">
        <is>
          <t>Coffee Club #5</t>
        </is>
      </c>
      <c r="B10" s="28" t="inlineStr">
        <is>
          <t>As above.</t>
        </is>
      </c>
      <c r="C10" s="28" t="inlineStr">
        <is>
          <t>4 alumni</t>
        </is>
      </c>
      <c r="D10" s="26" t="inlineStr">
        <is>
          <t>Jun 2027</t>
        </is>
      </c>
      <c r="E10" s="29" t="n"/>
      <c r="F10" s="21" t="n"/>
    </row>
    <row r="11" ht="40" customHeight="1">
      <c r="A11" s="50" t="inlineStr">
        <is>
          <t>Coffee Club #6</t>
        </is>
      </c>
      <c r="B11" s="28" t="inlineStr">
        <is>
          <t>As above — closes the cycle with all cohorts.</t>
        </is>
      </c>
      <c r="C11" s="28" t="inlineStr">
        <is>
          <t>4 alumni</t>
        </is>
      </c>
      <c r="D11" s="26" t="inlineStr">
        <is>
          <t>Aug 2027</t>
        </is>
      </c>
      <c r="E11" s="29" t="n"/>
      <c r="F11" s="21" t="n"/>
    </row>
    <row r="12" ht="40" customHeight="1">
      <c r="A12" s="50" t="inlineStr">
        <is>
          <t>SF · phase 1</t>
        </is>
      </c>
      <c r="B12" s="28" t="inlineStr">
        <is>
          <t>Map the existing circle.</t>
        </is>
      </c>
      <c r="C12" s="28" t="inlineStr">
        <is>
          <t>Circle mapped</t>
        </is>
      </c>
      <c r="D12" s="26" t="inlineStr">
        <is>
          <t>Q1</t>
        </is>
      </c>
      <c r="E12" s="29" t="n"/>
      <c r="F12" s="21" t="n"/>
    </row>
    <row r="13" ht="40" customHeight="1">
      <c r="A13" s="50" t="inlineStr">
        <is>
          <t>SF · phase 2</t>
        </is>
      </c>
      <c r="B13" s="28" t="inlineStr">
        <is>
          <t>Meet the people who matter in it.</t>
        </is>
      </c>
      <c r="C13" s="28" t="inlineStr">
        <is>
          <t>Key people met</t>
        </is>
      </c>
      <c r="D13" s="26" t="inlineStr">
        <is>
          <t>Q1</t>
        </is>
      </c>
      <c r="E13" s="29" t="n"/>
      <c r="F13" s="21" t="n"/>
    </row>
    <row r="14" ht="40" customHeight="1">
      <c r="A14" s="50" t="inlineStr">
        <is>
          <t>SF · phase 3</t>
        </is>
      </c>
      <c r="B14" s="28" t="inlineStr">
        <is>
          <t>Create value there, and stay warm when we need nothing from them. The phase that gets skipped, and the one that decides whether the network is real.</t>
        </is>
      </c>
      <c r="C14" s="28" t="inlineStr">
        <is>
          <t>Relationships held</t>
        </is>
      </c>
      <c r="D14" s="26" t="inlineStr">
        <is>
          <t>Q2</t>
        </is>
      </c>
      <c r="E14" s="29" t="n"/>
      <c r="F14" s="21" t="n"/>
    </row>
    <row r="15" ht="40" customHeight="1">
      <c r="A15" s="50" t="inlineStr">
        <is>
          <t>SF · phase 4</t>
        </is>
      </c>
      <c r="B15" s="28" t="inlineStr">
        <is>
          <t>Extend beyond Avishag's circle. An alum landing in SF walks into an existing network, not a strange city.</t>
        </is>
      </c>
      <c r="C15" s="28" t="inlineStr">
        <is>
          <t>Network beyond her</t>
        </is>
      </c>
      <c r="D15" s="26" t="inlineStr">
        <is>
          <t>Q3–Q4</t>
        </is>
      </c>
      <c r="E15" s="29" t="n"/>
      <c r="F15" s="21" t="n"/>
    </row>
    <row r="16" ht="40" customHeight="1">
      <c r="A16" s="50" t="inlineStr">
        <is>
          <t>Office Hours · research</t>
        </is>
      </c>
      <c r="B16" s="28" t="inlineStr">
        <is>
          <t>How other networks run office hours, and above all how they prevent abuse, overload and contributor burnout. Check access, matching, frequency, quality control, fatigue, confidentiality, follow-up. Bring a recommendation, not a launch.</t>
        </is>
      </c>
      <c r="C16" s="28" t="inlineStr">
        <is>
          <t>A recommendation</t>
        </is>
      </c>
      <c r="D16" s="26" t="inlineStr">
        <is>
          <t>Q1, before launch</t>
        </is>
      </c>
      <c r="E16" s="29" t="n"/>
      <c r="F16" s="21" t="n"/>
    </row>
    <row r="17" ht="40" customHeight="1">
      <c r="A17" s="50" t="inlineStr">
        <is>
          <t>Office Hours · recruit</t>
        </is>
      </c>
      <c r="B17" s="28" t="inlineStr">
        <is>
          <t>Quality people willing to give time. Per person: expertise, role, company, location, what they help with, stage, how often, format, whether an intro is needed, and their boundaries.</t>
        </is>
      </c>
      <c r="C17" s="28" t="inlineStr">
        <is>
          <t>8 by Q1 · 20 by Q2</t>
        </is>
      </c>
      <c r="D17" s="26" t="inlineStr">
        <is>
          <t>Q1–Q2</t>
        </is>
      </c>
      <c r="E17" s="29" t="n"/>
      <c r="F17" s="21" t="n"/>
    </row>
    <row r="18" ht="40" customHeight="1">
      <c r="A18" s="50" t="inlineStr">
        <is>
          <t>Founder-density dinner</t>
        </is>
      </c>
      <c r="B18" s="28" t="inlineStr">
        <is>
          <t>Eight potential founders, not another broad event. §21's own worked example.</t>
        </is>
      </c>
      <c r="C18" s="28" t="inlineStr">
        <is>
          <t>8 seats</t>
        </is>
      </c>
      <c r="D18" s="26" t="inlineStr">
        <is>
          <t>Q3</t>
        </is>
      </c>
      <c r="E18" s="29" t="n"/>
      <c r="F18" s="21" t="n"/>
    </row>
    <row r="19" ht="40" customHeight="1">
      <c r="A19" s="50" t="inlineStr">
        <is>
          <t>Month without Avishag</t>
        </is>
      </c>
      <c r="B19" s="28" t="inlineStr">
        <is>
          <t>Run the §24 test for real, and answer honestly whether the network kept strengthening.</t>
        </is>
      </c>
      <c r="C19" s="28" t="inlineStr">
        <is>
          <t>An honest answer</t>
        </is>
      </c>
      <c r="D19" s="26" t="inlineStr">
        <is>
          <t>Q4</t>
        </is>
      </c>
      <c r="E19" s="29" t="n"/>
      <c r="F19" s="21" t="n"/>
    </row>
    <row r="21">
      <c r="A21" s="5" t="inlineStr">
        <is>
          <t>The introduction gate (§3)</t>
        </is>
      </c>
    </row>
    <row r="22" ht="46" customHeight="1">
      <c r="A22" s="7" t="inlineStr">
        <is>
          <t>Before connecting two people, answer: why do these two need to know each other now? No good answer, no introduction. The goal is relationships that produce value, not a count of intros. And close the loop with the alum — even when Avishag does not reply, Delgo is the one who makes sure the circle closes.</t>
        </is>
      </c>
    </row>
  </sheetData>
  <mergeCells count="1">
    <mergeCell ref="A22:F22"/>
  </mergeCells>
  <dataValidations count="1">
    <dataValidation sqref="E5 E6 E7 E8 E9 E10 E11 E12 E13 E14 E15 E16 E17 E18 E19" showDropDown="0" showInputMessage="0" showErrorMessage="0" allowBlank="1" type="list">
      <formula1>"not started,in progress,done,parked"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2026-08-30T23:07:42Z</dcterms:created>
  <dcterms:modified xsi:type="dcterms:W3CDTF">2026-08-30T23:07:43Z</dcterms:modified>
</cp:coreProperties>
</file>